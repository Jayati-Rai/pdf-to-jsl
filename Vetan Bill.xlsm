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vetan bill" sheetId="1" state="visible" r:id="rId1"/>
    <sheet name="प्रपत्र-ग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9">
    <font>
      <name val="Calibri"/>
      <family val="2"/>
      <color theme="1"/>
      <sz val="11"/>
      <scheme val="minor"/>
    </font>
    <font>
      <name val="Kruti Dev 010"/>
      <sz val="20"/>
    </font>
    <font>
      <name val="Kruti Dev 010"/>
      <b val="1"/>
      <sz val="16"/>
    </font>
    <font>
      <name val="Algerian"/>
      <family val="5"/>
      <sz val="12"/>
    </font>
    <font>
      <name val="Kruti Dev 010"/>
      <sz val="12"/>
    </font>
    <font>
      <name val="Nirmala UI"/>
      <family val="2"/>
      <sz val="10"/>
    </font>
    <font>
      <name val="Kruti Dev 011"/>
      <b val="1"/>
      <sz val="14"/>
    </font>
    <font>
      <name val="Arial"/>
      <family val="2"/>
      <sz val="10"/>
    </font>
    <font>
      <name val="Arial"/>
      <family val="2"/>
      <sz val="12"/>
    </font>
    <font>
      <name val="Kruti Dev 010"/>
      <b val="1"/>
      <sz val="12"/>
    </font>
    <font>
      <name val="Arial"/>
      <family val="2"/>
      <b val="1"/>
      <sz val="10"/>
    </font>
    <font>
      <name val="Arial"/>
      <family val="2"/>
      <sz val="8"/>
    </font>
    <font>
      <name val="Arial"/>
      <family val="2"/>
      <b val="1"/>
      <sz val="8"/>
    </font>
    <font>
      <name val="Kruti Dev 010"/>
      <sz val="8"/>
    </font>
    <font>
      <name val="Kruti Dev 010"/>
      <b val="1"/>
      <sz val="8"/>
    </font>
    <font>
      <name val="Arial"/>
      <family val="2"/>
      <sz val="7"/>
    </font>
    <font>
      <name val="Arial"/>
      <family val="2"/>
      <b val="1"/>
      <sz val="7"/>
    </font>
    <font>
      <name val="Kruti Dev 010"/>
      <sz val="11"/>
    </font>
    <font>
      <name val="Nirmala UI Semilight"/>
      <family val="2"/>
      <b val="1"/>
      <sz val="8"/>
    </font>
  </fonts>
  <fills count="2">
    <fill>
      <patternFill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2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3" fillId="0" borderId="0" pivotButton="0" quotePrefix="0" xfId="0"/>
    <xf numFmtId="0" fontId="4" fillId="0" borderId="0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right"/>
    </xf>
    <xf numFmtId="0" fontId="7" fillId="0" borderId="0" pivotButton="0" quotePrefix="0" xfId="0"/>
    <xf numFmtId="0" fontId="8" fillId="0" borderId="2" applyAlignment="1" pivotButton="0" quotePrefix="0" xfId="0">
      <alignment horizontal="center" vertical="top" wrapText="1"/>
    </xf>
    <xf numFmtId="0" fontId="4" fillId="0" borderId="2" applyAlignment="1" pivotButton="0" quotePrefix="0" xfId="0">
      <alignment horizontal="center" vertical="top" wrapText="1"/>
    </xf>
    <xf numFmtId="0" fontId="4" fillId="0" borderId="3" applyAlignment="1" pivotButton="0" quotePrefix="0" xfId="0">
      <alignment horizontal="center" vertical="top" wrapText="1"/>
    </xf>
    <xf numFmtId="0" fontId="7" fillId="0" borderId="4" pivotButton="0" quotePrefix="0" xfId="0"/>
    <xf numFmtId="0" fontId="8" fillId="0" borderId="2" applyAlignment="1" pivotButton="0" quotePrefix="0" xfId="0">
      <alignment horizontal="center"/>
    </xf>
    <xf numFmtId="0" fontId="4" fillId="0" borderId="2" pivotButton="0" quotePrefix="0" xfId="0"/>
    <xf numFmtId="0" fontId="4" fillId="0" borderId="2" applyAlignment="1" pivotButton="0" quotePrefix="0" xfId="0">
      <alignment horizontal="center"/>
    </xf>
    <xf numFmtId="0" fontId="4" fillId="0" borderId="4" pivotButton="0" quotePrefix="0" xfId="0"/>
    <xf numFmtId="0" fontId="9" fillId="0" borderId="4" pivotButton="0" quotePrefix="0" xfId="0"/>
    <xf numFmtId="0" fontId="9" fillId="0" borderId="0" pivotButton="0" quotePrefix="0" xfId="0"/>
    <xf numFmtId="0" fontId="8" fillId="0" borderId="5" applyAlignment="1" pivotButton="0" quotePrefix="0" xfId="0">
      <alignment horizontal="center"/>
    </xf>
    <xf numFmtId="0" fontId="9" fillId="0" borderId="5" pivotButton="0" quotePrefix="0" xfId="0"/>
    <xf numFmtId="0" fontId="9" fillId="0" borderId="5" applyAlignment="1" pivotButton="0" quotePrefix="0" xfId="0">
      <alignment horizontal="center"/>
    </xf>
    <xf numFmtId="0" fontId="4" fillId="0" borderId="6" pivotButton="0" quotePrefix="0" xfId="0"/>
    <xf numFmtId="0" fontId="9" fillId="0" borderId="6" pivotButton="0" quotePrefix="0" xfId="0"/>
    <xf numFmtId="0" fontId="9" fillId="0" borderId="3" applyAlignment="1" pivotButton="0" quotePrefix="0" xfId="0">
      <alignment horizontal="center"/>
    </xf>
    <xf numFmtId="0" fontId="7" fillId="0" borderId="7" pivotButton="0" quotePrefix="0" xfId="0"/>
    <xf numFmtId="0" fontId="4" fillId="0" borderId="3" applyAlignment="1" pivotButton="0" quotePrefix="0" xfId="0">
      <alignment horizontal="center"/>
    </xf>
    <xf numFmtId="0" fontId="7" fillId="0" borderId="8" pivotButton="0" quotePrefix="0" xfId="0"/>
    <xf numFmtId="0" fontId="7" fillId="0" borderId="9" pivotButton="0" quotePrefix="0" xfId="0"/>
    <xf numFmtId="0" fontId="4" fillId="0" borderId="10" applyAlignment="1" pivotButton="0" quotePrefix="0" xfId="0">
      <alignment horizontal="center"/>
    </xf>
    <xf numFmtId="0" fontId="9" fillId="0" borderId="2" applyAlignment="1" pivotButton="0" quotePrefix="0" xfId="0">
      <alignment horizontal="center"/>
    </xf>
    <xf numFmtId="0" fontId="4" fillId="0" borderId="2" applyAlignment="1" pivotButton="0" quotePrefix="0" xfId="0">
      <alignment horizontal="right"/>
    </xf>
    <xf numFmtId="0" fontId="7" fillId="0" borderId="11" pivotButton="0" quotePrefix="0" xfId="0"/>
    <xf numFmtId="0" fontId="10" fillId="0" borderId="2" applyAlignment="1" pivotButton="0" quotePrefix="0" xfId="0">
      <alignment horizontal="center"/>
    </xf>
    <xf numFmtId="0" fontId="4" fillId="0" borderId="12" applyAlignment="1" pivotButton="0" quotePrefix="0" xfId="0">
      <alignment horizontal="center"/>
    </xf>
    <xf numFmtId="2" fontId="11" fillId="0" borderId="6" applyAlignment="1" pivotButton="0" quotePrefix="0" xfId="0">
      <alignment horizontal="center"/>
    </xf>
    <xf numFmtId="2" fontId="11" fillId="0" borderId="0" applyAlignment="1" pivotButton="0" quotePrefix="0" xfId="0">
      <alignment horizontal="center"/>
    </xf>
    <xf numFmtId="2" fontId="12" fillId="0" borderId="6" applyAlignment="1" pivotButton="0" quotePrefix="0" xfId="0">
      <alignment horizontal="center"/>
    </xf>
    <xf numFmtId="2" fontId="12" fillId="0" borderId="0" applyAlignment="1" pivotButton="0" quotePrefix="0" xfId="0">
      <alignment horizontal="center"/>
    </xf>
    <xf numFmtId="0" fontId="9" fillId="0" borderId="4" applyAlignment="1" pivotButton="0" quotePrefix="0" xfId="0">
      <alignment horizontal="center"/>
    </xf>
    <xf numFmtId="2" fontId="12" fillId="0" borderId="4" applyAlignment="1" pivotButton="0" quotePrefix="0" xfId="0">
      <alignment horizontal="center"/>
    </xf>
    <xf numFmtId="2" fontId="11" fillId="0" borderId="4" applyAlignment="1" pivotButton="0" quotePrefix="0" xfId="0">
      <alignment horizontal="center"/>
    </xf>
    <xf numFmtId="2" fontId="7" fillId="0" borderId="0" pivotButton="0" quotePrefix="0" xfId="0"/>
    <xf numFmtId="0" fontId="13" fillId="0" borderId="0" applyAlignment="1" pivotButton="0" quotePrefix="0" xfId="0">
      <alignment horizontal="center"/>
    </xf>
    <xf numFmtId="0" fontId="13" fillId="0" borderId="6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14" fillId="0" borderId="6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2" fontId="15" fillId="0" borderId="0" applyAlignment="1" pivotButton="0" quotePrefix="0" xfId="0">
      <alignment horizontal="center"/>
    </xf>
    <xf numFmtId="1" fontId="11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0" fontId="4" fillId="0" borderId="1" pivotButton="0" quotePrefix="0" xfId="0"/>
    <xf numFmtId="2" fontId="11" fillId="0" borderId="1" applyAlignment="1" pivotButton="0" quotePrefix="0" xfId="0">
      <alignment horizontal="center"/>
    </xf>
    <xf numFmtId="0" fontId="13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1" fontId="12" fillId="0" borderId="1" applyAlignment="1" pivotButton="0" quotePrefix="0" xfId="0">
      <alignment horizontal="center"/>
    </xf>
    <xf numFmtId="2" fontId="16" fillId="0" borderId="4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2" fontId="16" fillId="0" borderId="0" applyAlignment="1" pivotButton="0" quotePrefix="0" xfId="0">
      <alignment horizontal="center"/>
    </xf>
    <xf numFmtId="0" fontId="17" fillId="0" borderId="0" pivotButton="0" quotePrefix="0" xfId="0"/>
    <xf numFmtId="1" fontId="10" fillId="0" borderId="0" applyAlignment="1" pivotButton="0" quotePrefix="0" xfId="0">
      <alignment horizontal="center"/>
    </xf>
    <xf numFmtId="0" fontId="17" fillId="0" borderId="1" pivotButton="0" quotePrefix="0" xfId="0"/>
    <xf numFmtId="0" fontId="7" fillId="0" borderId="1" pivotButton="0" quotePrefix="0" xfId="0"/>
    <xf numFmtId="0" fontId="9" fillId="0" borderId="1" pivotButton="0" quotePrefix="0" xfId="0"/>
    <xf numFmtId="1" fontId="10" fillId="0" borderId="4" applyAlignment="1" pivotButton="0" quotePrefix="0" xfId="0">
      <alignment horizontal="center"/>
    </xf>
    <xf numFmtId="1" fontId="7" fillId="0" borderId="0" pivotButton="0" quotePrefix="0" xfId="0"/>
    <xf numFmtId="0" fontId="18" fillId="0" borderId="6" applyAlignment="1" pivotButton="0" quotePrefix="0" xfId="0">
      <alignment horizontal="right" vertical="center"/>
    </xf>
    <xf numFmtId="0" fontId="7" fillId="0" borderId="6" pivotButton="0" quotePrefix="0" xfId="0"/>
    <xf numFmtId="0" fontId="9" fillId="0" borderId="6" applyAlignment="1" pivotButton="0" quotePrefix="0" xfId="0">
      <alignment horizontal="left" vertical="center"/>
    </xf>
    <xf numFmtId="0" fontId="9" fillId="0" borderId="6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1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S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OFFICE OF D I O S-GAZIPUR</t>
        </is>
      </c>
    </row>
    <row r="2">
      <c r="A2" t="inlineStr">
        <is>
          <t>ADARSH HINDI H S SCHOOL PARSA GHAZIPUR</t>
        </is>
      </c>
    </row>
    <row r="3">
      <c r="A3" t="inlineStr">
        <is>
          <t>Pay Bill (NPS) for the month of February,2025</t>
        </is>
      </c>
    </row>
    <row r="4">
      <c r="A4" t="inlineStr">
        <is>
          <t>Salary Head : 2202021100301</t>
        </is>
      </c>
    </row>
    <row r="5">
      <c r="A5" t="inlineStr">
        <is>
          <t>&lt;----------------------------- Employee Detail ----------------------------&gt;</t>
        </is>
      </c>
      <c r="F5" t="inlineStr">
        <is>
          <t>&lt;---------------------------------- EARNINGS ---------------------------------&gt;</t>
        </is>
      </c>
      <c r="L5" t="inlineStr">
        <is>
          <t>&lt;------------------------------- DEDUCTIONS ------------------------------&gt;</t>
        </is>
      </c>
    </row>
    <row r="6">
      <c r="A6" t="inlineStr">
        <is>
          <t>S.no</t>
        </is>
      </c>
      <c r="B6" t="inlineStr">
        <is>
          <t>Code</t>
        </is>
      </c>
      <c r="C6" t="inlineStr">
        <is>
          <t>Employee
Name/Designation</t>
        </is>
      </c>
      <c r="D6" t="inlineStr">
        <is>
          <t>Attendance</t>
        </is>
      </c>
      <c r="E6" t="inlineStr">
        <is>
          <t>Bank Name</t>
        </is>
      </c>
      <c r="F6" t="inlineStr">
        <is>
          <t>Basic Pay</t>
        </is>
      </c>
      <c r="G6" t="inlineStr">
        <is>
          <t>D.A.</t>
        </is>
      </c>
      <c r="H6" t="inlineStr">
        <is>
          <t>H.R.A.</t>
        </is>
      </c>
      <c r="I6" t="inlineStr">
        <is>
          <t>Wash
Alw.</t>
        </is>
      </c>
      <c r="J6" t="inlineStr">
        <is>
          <t>PH/Other
Alw.</t>
        </is>
      </c>
      <c r="K6" t="inlineStr">
        <is>
          <t>Gross Pay</t>
        </is>
      </c>
      <c r="L6" t="inlineStr">
        <is>
          <t>G.I.S</t>
        </is>
      </c>
      <c r="M6" t="inlineStr">
        <is>
          <t>I.TAX</t>
        </is>
      </c>
      <c r="N6" t="inlineStr">
        <is>
          <t>PF
ADV</t>
        </is>
      </c>
      <c r="O6" t="inlineStr">
        <is>
          <t>HB ADV</t>
        </is>
      </c>
      <c r="P6" t="inlineStr">
        <is>
          <t>VEH
ADV</t>
        </is>
      </c>
      <c r="Q6" t="inlineStr">
        <is>
          <t>RECOV.AMT</t>
        </is>
      </c>
      <c r="R6" t="inlineStr">
        <is>
          <t>Past NPS
Recov</t>
        </is>
      </c>
      <c r="S6" t="inlineStr">
        <is>
          <t>NET</t>
        </is>
      </c>
    </row>
    <row r="7">
      <c r="E7" t="inlineStr">
        <is>
          <t>Bank A/C</t>
        </is>
      </c>
      <c r="F7" t="inlineStr">
        <is>
          <t>G.P.</t>
        </is>
      </c>
      <c r="G7" t="inlineStr">
        <is>
          <t>Depu.
Alw.</t>
        </is>
      </c>
      <c r="H7" t="inlineStr">
        <is>
          <t>C.C.A.</t>
        </is>
      </c>
      <c r="I7" t="inlineStr">
        <is>
          <t>Med.
Alw.</t>
        </is>
      </c>
      <c r="J7" t="inlineStr">
        <is>
          <t>Veh. Alw.</t>
        </is>
      </c>
      <c r="L7" t="inlineStr">
        <is>
          <t>GPF/NPS
Ded.</t>
        </is>
      </c>
      <c r="M7" t="inlineStr">
        <is>
          <t>G.V.R.</t>
        </is>
      </c>
      <c r="N7" t="inlineStr">
        <is>
          <t>HRR</t>
        </is>
      </c>
      <c r="O7" t="inlineStr">
        <is>
          <t>HBRAdv</t>
        </is>
      </c>
      <c r="P7" t="inlineStr">
        <is>
          <t>OTH
ADV</t>
        </is>
      </c>
      <c r="Q7" t="inlineStr">
        <is>
          <t>SLY ADV</t>
        </is>
      </c>
      <c r="R7" t="inlineStr">
        <is>
          <t>Total
Deduction</t>
        </is>
      </c>
    </row>
    <row r="8">
      <c r="A8" t="inlineStr">
        <is>
          <t>1</t>
        </is>
      </c>
      <c r="B8" t="inlineStr">
        <is>
          <t>1065707</t>
        </is>
      </c>
      <c r="C8" t="inlineStr">
        <is>
          <t>SURENDRA NATH
RAM
ASSISTANT
TEACHER</t>
        </is>
      </c>
      <c r="D8" t="inlineStr">
        <is>
          <t>28</t>
        </is>
      </c>
      <c r="E8" t="inlineStr">
        <is>
          <t>STATE BANK OF
INDIA</t>
        </is>
      </c>
      <c r="F8" t="inlineStr">
        <is>
          <t>78800.00</t>
        </is>
      </c>
      <c r="G8" t="inlineStr">
        <is>
          <t>41764.00</t>
        </is>
      </c>
      <c r="H8" t="inlineStr">
        <is>
          <t>1870.00</t>
        </is>
      </c>
      <c r="I8" t="inlineStr">
        <is>
          <t>0.00</t>
        </is>
      </c>
      <c r="J8" t="inlineStr">
        <is>
          <t>0.00</t>
        </is>
      </c>
      <c r="K8" t="inlineStr">
        <is>
          <t>122434.00</t>
        </is>
      </c>
      <c r="L8" t="inlineStr">
        <is>
          <t>174.00</t>
        </is>
      </c>
      <c r="M8" t="inlineStr">
        <is>
          <t>7924.00</t>
        </is>
      </c>
      <c r="N8" t="inlineStr">
        <is>
          <t>0.00</t>
        </is>
      </c>
      <c r="O8" t="inlineStr">
        <is>
          <t>0.00</t>
        </is>
      </c>
      <c r="P8" t="inlineStr">
        <is>
          <t>0.00</t>
        </is>
      </c>
      <c r="Q8" t="inlineStr">
        <is>
          <t>0.00</t>
        </is>
      </c>
      <c r="R8" t="inlineStr">
        <is>
          <t>2452.00</t>
        </is>
      </c>
      <c r="S8" t="inlineStr">
        <is>
          <t>99</t>
        </is>
      </c>
    </row>
    <row r="9">
      <c r="E9" t="inlineStr">
        <is>
          <t>34177569358</t>
        </is>
      </c>
      <c r="F9" t="inlineStr">
        <is>
          <t>4800.00</t>
        </is>
      </c>
      <c r="G9" t="inlineStr">
        <is>
          <t>0.00</t>
        </is>
      </c>
      <c r="H9" t="inlineStr">
        <is>
          <t>0.00</t>
        </is>
      </c>
      <c r="I9" t="inlineStr">
        <is>
          <t>0.00</t>
        </is>
      </c>
      <c r="J9" t="inlineStr">
        <is>
          <t>0.00</t>
        </is>
      </c>
      <c r="L9" t="inlineStr">
        <is>
          <t>12056.00</t>
        </is>
      </c>
      <c r="M9" t="inlineStr">
        <is>
          <t>0.00</t>
        </is>
      </c>
      <c r="N9" t="inlineStr">
        <is>
          <t>0.00</t>
        </is>
      </c>
      <c r="O9" t="inlineStr">
        <is>
          <t>0.00</t>
        </is>
      </c>
      <c r="P9" t="inlineStr">
        <is>
          <t>0.00</t>
        </is>
      </c>
      <c r="Q9" t="inlineStr">
        <is>
          <t>0.00</t>
        </is>
      </c>
      <c r="R9" t="inlineStr">
        <is>
          <t>22606.00</t>
        </is>
      </c>
    </row>
    <row r="10">
      <c r="A10" t="inlineStr">
        <is>
          <t>2</t>
        </is>
      </c>
      <c r="B10" t="inlineStr">
        <is>
          <t>1065719</t>
        </is>
      </c>
      <c r="C10" t="inlineStr">
        <is>
          <t>DEENA NATH PAL
ASSISTANT
TEACHER</t>
        </is>
      </c>
      <c r="D10" t="inlineStr">
        <is>
          <t>28</t>
        </is>
      </c>
      <c r="E10" t="inlineStr">
        <is>
          <t>BANK OF
BARODA</t>
        </is>
      </c>
      <c r="F10" t="inlineStr">
        <is>
          <t>78800.00</t>
        </is>
      </c>
      <c r="G10" t="inlineStr">
        <is>
          <t>41764.00</t>
        </is>
      </c>
      <c r="H10" t="inlineStr">
        <is>
          <t>1870.00</t>
        </is>
      </c>
      <c r="I10" t="inlineStr">
        <is>
          <t>0.00</t>
        </is>
      </c>
      <c r="J10" t="inlineStr">
        <is>
          <t>0.00</t>
        </is>
      </c>
      <c r="K10" t="inlineStr">
        <is>
          <t>122434.00</t>
        </is>
      </c>
      <c r="L10" t="inlineStr">
        <is>
          <t>174.00</t>
        </is>
      </c>
      <c r="M10" t="inlineStr">
        <is>
          <t>7383.00</t>
        </is>
      </c>
      <c r="N10" t="inlineStr">
        <is>
          <t>0.00</t>
        </is>
      </c>
      <c r="O10" t="inlineStr">
        <is>
          <t>0.00</t>
        </is>
      </c>
      <c r="P10" t="inlineStr">
        <is>
          <t>0.00</t>
        </is>
      </c>
      <c r="Q10" t="inlineStr">
        <is>
          <t>0.00</t>
        </is>
      </c>
      <c r="R10" t="inlineStr">
        <is>
          <t>2680.00</t>
        </is>
      </c>
      <c r="S10" t="inlineStr">
        <is>
          <t>100</t>
        </is>
      </c>
    </row>
    <row r="11">
      <c r="E11" t="inlineStr">
        <is>
          <t>29770100001094</t>
        </is>
      </c>
      <c r="F11" t="inlineStr">
        <is>
          <t>4800.00</t>
        </is>
      </c>
      <c r="G11" t="inlineStr">
        <is>
          <t>0.00</t>
        </is>
      </c>
      <c r="H11" t="inlineStr">
        <is>
          <t>0.00</t>
        </is>
      </c>
      <c r="I11" t="inlineStr">
        <is>
          <t>0.00</t>
        </is>
      </c>
      <c r="J11" t="inlineStr">
        <is>
          <t>0.00</t>
        </is>
      </c>
      <c r="L11" t="inlineStr">
        <is>
          <t>12056.00</t>
        </is>
      </c>
      <c r="M11" t="inlineStr">
        <is>
          <t>0.00</t>
        </is>
      </c>
      <c r="N11" t="inlineStr">
        <is>
          <t>0.00</t>
        </is>
      </c>
      <c r="O11" t="inlineStr">
        <is>
          <t>0.00</t>
        </is>
      </c>
      <c r="P11" t="inlineStr">
        <is>
          <t>0.00</t>
        </is>
      </c>
      <c r="Q11" t="inlineStr">
        <is>
          <t>0.00</t>
        </is>
      </c>
      <c r="R11" t="inlineStr">
        <is>
          <t>22293.00</t>
        </is>
      </c>
    </row>
    <row r="12">
      <c r="A12" t="inlineStr">
        <is>
          <t>3</t>
        </is>
      </c>
      <c r="B12" t="inlineStr">
        <is>
          <t>2212427</t>
        </is>
      </c>
      <c r="C12" t="inlineStr">
        <is>
          <t>RAJOO RAJBHAR
ASSISTANT
TEACHER</t>
        </is>
      </c>
      <c r="D12" t="inlineStr">
        <is>
          <t>28</t>
        </is>
      </c>
      <c r="E12" t="inlineStr">
        <is>
          <t>BANK OF
BARODA</t>
        </is>
      </c>
      <c r="F12" t="inlineStr">
        <is>
          <t>49000.00</t>
        </is>
      </c>
      <c r="G12" t="inlineStr">
        <is>
          <t>25970.00</t>
        </is>
      </c>
      <c r="H12" t="inlineStr">
        <is>
          <t>1840.00</t>
        </is>
      </c>
      <c r="I12" t="inlineStr">
        <is>
          <t>0.00</t>
        </is>
      </c>
      <c r="J12" t="inlineStr">
        <is>
          <t>0.00</t>
        </is>
      </c>
      <c r="K12" t="inlineStr">
        <is>
          <t>76810.00</t>
        </is>
      </c>
      <c r="L12" t="inlineStr">
        <is>
          <t>0.00</t>
        </is>
      </c>
      <c r="M12" t="inlineStr">
        <is>
          <t>2689.00</t>
        </is>
      </c>
      <c r="N12" t="inlineStr">
        <is>
          <t>0.00</t>
        </is>
      </c>
      <c r="O12" t="inlineStr">
        <is>
          <t>0.00</t>
        </is>
      </c>
      <c r="P12" t="inlineStr">
        <is>
          <t>0.00</t>
        </is>
      </c>
      <c r="Q12" t="inlineStr">
        <is>
          <t>0.00</t>
        </is>
      </c>
      <c r="R12" t="inlineStr">
        <is>
          <t>0.00</t>
        </is>
      </c>
      <c r="S12" t="inlineStr">
        <is>
          <t>66</t>
        </is>
      </c>
    </row>
    <row r="13">
      <c r="E13" t="inlineStr">
        <is>
          <t>29770100017208</t>
        </is>
      </c>
      <c r="F13" t="inlineStr">
        <is>
          <t>4600.00</t>
        </is>
      </c>
      <c r="G13" t="inlineStr">
        <is>
          <t>0.00</t>
        </is>
      </c>
      <c r="H13" t="inlineStr">
        <is>
          <t>0.00</t>
        </is>
      </c>
      <c r="I13" t="inlineStr">
        <is>
          <t>0.00</t>
        </is>
      </c>
      <c r="J13" t="inlineStr">
        <is>
          <t>0.00</t>
        </is>
      </c>
      <c r="L13" t="inlineStr">
        <is>
          <t>7497.00</t>
        </is>
      </c>
      <c r="M13" t="inlineStr">
        <is>
          <t>0.00</t>
        </is>
      </c>
      <c r="N13" t="inlineStr">
        <is>
          <t>0.00</t>
        </is>
      </c>
      <c r="O13" t="inlineStr">
        <is>
          <t>0.00</t>
        </is>
      </c>
      <c r="P13" t="inlineStr">
        <is>
          <t>0.00</t>
        </is>
      </c>
      <c r="Q13" t="inlineStr">
        <is>
          <t>0.00</t>
        </is>
      </c>
      <c r="R13" t="inlineStr">
        <is>
          <t>10186.00</t>
        </is>
      </c>
    </row>
    <row r="14">
      <c r="A14" t="inlineStr">
        <is>
          <t>4</t>
        </is>
      </c>
      <c r="B14" t="inlineStr">
        <is>
          <t>2212428</t>
        </is>
      </c>
      <c r="C14" t="inlineStr">
        <is>
          <t>MANOJ KUMAR
GUPTA
ASSISTANT
TEACHER</t>
        </is>
      </c>
      <c r="D14" t="inlineStr">
        <is>
          <t>28</t>
        </is>
      </c>
      <c r="E14" t="inlineStr">
        <is>
          <t>BANK OF
BARODA</t>
        </is>
      </c>
      <c r="F14" t="inlineStr">
        <is>
          <t>49000.00</t>
        </is>
      </c>
      <c r="G14" t="inlineStr">
        <is>
          <t>25970.00</t>
        </is>
      </c>
      <c r="H14" t="inlineStr">
        <is>
          <t>1840.00</t>
        </is>
      </c>
      <c r="I14" t="inlineStr">
        <is>
          <t>0.00</t>
        </is>
      </c>
      <c r="J14" t="inlineStr">
        <is>
          <t>0.00</t>
        </is>
      </c>
      <c r="K14" t="inlineStr">
        <is>
          <t>76810.00</t>
        </is>
      </c>
      <c r="L14" t="inlineStr">
        <is>
          <t>0.00</t>
        </is>
      </c>
      <c r="M14" t="inlineStr">
        <is>
          <t>4494.00</t>
        </is>
      </c>
      <c r="N14" t="inlineStr">
        <is>
          <t>0.00</t>
        </is>
      </c>
      <c r="O14" t="inlineStr">
        <is>
          <t>0.00</t>
        </is>
      </c>
      <c r="P14" t="inlineStr">
        <is>
          <t>0.00</t>
        </is>
      </c>
      <c r="Q14" t="inlineStr">
        <is>
          <t>0.00</t>
        </is>
      </c>
      <c r="R14" t="inlineStr">
        <is>
          <t>0.00</t>
        </is>
      </c>
      <c r="S14" t="inlineStr">
        <is>
          <t>64</t>
        </is>
      </c>
    </row>
    <row r="15">
      <c r="E15" t="inlineStr">
        <is>
          <t>29770100017209</t>
        </is>
      </c>
      <c r="F15" t="inlineStr">
        <is>
          <t>4600.00</t>
        </is>
      </c>
      <c r="G15" t="inlineStr">
        <is>
          <t>0.00</t>
        </is>
      </c>
      <c r="H15" t="inlineStr">
        <is>
          <t>0.00</t>
        </is>
      </c>
      <c r="I15" t="inlineStr">
        <is>
          <t>0.00</t>
        </is>
      </c>
      <c r="J15" t="inlineStr">
        <is>
          <t>0.00</t>
        </is>
      </c>
      <c r="L15" t="inlineStr">
        <is>
          <t>7497.00</t>
        </is>
      </c>
      <c r="M15" t="inlineStr">
        <is>
          <t>0.00</t>
        </is>
      </c>
      <c r="N15" t="inlineStr">
        <is>
          <t>0.00</t>
        </is>
      </c>
      <c r="O15" t="inlineStr">
        <is>
          <t>0.00</t>
        </is>
      </c>
      <c r="P15" t="inlineStr">
        <is>
          <t>0.00</t>
        </is>
      </c>
      <c r="Q15" t="inlineStr">
        <is>
          <t>0.00</t>
        </is>
      </c>
      <c r="R15" t="inlineStr">
        <is>
          <t>11991.00</t>
        </is>
      </c>
    </row>
    <row r="16">
      <c r="A16" t="inlineStr">
        <is>
          <t>5</t>
        </is>
      </c>
      <c r="B16" t="inlineStr">
        <is>
          <t>2212429</t>
        </is>
      </c>
      <c r="C16" t="inlineStr">
        <is>
          <t>PADMAKAR DUBE
ASSISTANT
TEACHER</t>
        </is>
      </c>
      <c r="D16" t="inlineStr">
        <is>
          <t>28</t>
        </is>
      </c>
      <c r="E16" t="inlineStr">
        <is>
          <t>BANK OF
BARODA</t>
        </is>
      </c>
      <c r="F16" t="inlineStr">
        <is>
          <t>47600.00</t>
        </is>
      </c>
      <c r="G16" t="inlineStr">
        <is>
          <t>25228.00</t>
        </is>
      </c>
      <c r="H16" t="inlineStr">
        <is>
          <t>1840.00</t>
        </is>
      </c>
      <c r="I16" t="inlineStr">
        <is>
          <t>0.00</t>
        </is>
      </c>
      <c r="J16" t="inlineStr">
        <is>
          <t>0.00</t>
        </is>
      </c>
      <c r="K16" t="inlineStr">
        <is>
          <t>74668.00</t>
        </is>
      </c>
      <c r="L16" t="inlineStr">
        <is>
          <t>0.00</t>
        </is>
      </c>
      <c r="M16" t="inlineStr">
        <is>
          <t>209.00</t>
        </is>
      </c>
      <c r="N16" t="inlineStr">
        <is>
          <t>0.00</t>
        </is>
      </c>
      <c r="O16" t="inlineStr">
        <is>
          <t>0.00</t>
        </is>
      </c>
      <c r="P16" t="inlineStr">
        <is>
          <t>0.00</t>
        </is>
      </c>
      <c r="Q16" t="inlineStr">
        <is>
          <t>0.00</t>
        </is>
      </c>
      <c r="R16" t="inlineStr">
        <is>
          <t>0.00</t>
        </is>
      </c>
      <c r="S16" t="inlineStr">
        <is>
          <t>67</t>
        </is>
      </c>
    </row>
    <row r="17">
      <c r="E17" t="inlineStr">
        <is>
          <t>29770100017207</t>
        </is>
      </c>
      <c r="F17" t="inlineStr">
        <is>
          <t>4600.00</t>
        </is>
      </c>
      <c r="G17" t="inlineStr">
        <is>
          <t>0.00</t>
        </is>
      </c>
      <c r="H17" t="inlineStr">
        <is>
          <t>0.00</t>
        </is>
      </c>
      <c r="I17" t="inlineStr">
        <is>
          <t>0.00</t>
        </is>
      </c>
      <c r="J17" t="inlineStr">
        <is>
          <t>0.00</t>
        </is>
      </c>
      <c r="L17" t="inlineStr">
        <is>
          <t>7283.00</t>
        </is>
      </c>
      <c r="M17" t="inlineStr">
        <is>
          <t>0.00</t>
        </is>
      </c>
      <c r="N17" t="inlineStr">
        <is>
          <t>0.00</t>
        </is>
      </c>
      <c r="O17" t="inlineStr">
        <is>
          <t>0.00</t>
        </is>
      </c>
      <c r="P17" t="inlineStr">
        <is>
          <t>0.00</t>
        </is>
      </c>
      <c r="Q17" t="inlineStr">
        <is>
          <t>0.00</t>
        </is>
      </c>
      <c r="R17" t="inlineStr">
        <is>
          <t>7492.00</t>
        </is>
      </c>
    </row>
    <row r="18">
      <c r="A18" t="inlineStr">
        <is>
          <t>Total Amount</t>
        </is>
      </c>
      <c r="F18" t="inlineStr">
        <is>
          <t>406300.00</t>
        </is>
      </c>
      <c r="G18" t="inlineStr">
        <is>
          <t>215339.00</t>
        </is>
      </c>
      <c r="H18" t="inlineStr">
        <is>
          <t>12670.00</t>
        </is>
      </c>
      <c r="I18" t="inlineStr">
        <is>
          <t>0.00</t>
        </is>
      </c>
      <c r="J18" t="inlineStr">
        <is>
          <t>0.00</t>
        </is>
      </c>
      <c r="K18" t="inlineStr">
        <is>
          <t>634309.00</t>
        </is>
      </c>
      <c r="L18" t="inlineStr">
        <is>
          <t>522.00</t>
        </is>
      </c>
      <c r="M18" t="inlineStr">
        <is>
          <t>25397.00</t>
        </is>
      </c>
      <c r="N18" t="inlineStr">
        <is>
          <t>0.00</t>
        </is>
      </c>
      <c r="O18" t="inlineStr">
        <is>
          <t>0.00</t>
        </is>
      </c>
      <c r="P18" t="inlineStr">
        <is>
          <t>0.00</t>
        </is>
      </c>
      <c r="Q18" t="inlineStr">
        <is>
          <t>0.00</t>
        </is>
      </c>
      <c r="R18" t="inlineStr">
        <is>
          <t>8143.00</t>
        </is>
      </c>
      <c r="S18" t="inlineStr">
        <is>
          <t>545</t>
        </is>
      </c>
    </row>
    <row r="19">
      <c r="F19" t="inlineStr">
        <is>
          <t>31900.00</t>
        </is>
      </c>
      <c r="G19" t="inlineStr">
        <is>
          <t>0.00</t>
        </is>
      </c>
      <c r="H19" t="inlineStr">
        <is>
          <t>0.00</t>
        </is>
      </c>
      <c r="I19" t="inlineStr">
        <is>
          <t>0.00</t>
        </is>
      </c>
      <c r="J19" t="inlineStr">
        <is>
          <t>0.00</t>
        </is>
      </c>
      <c r="L19" t="inlineStr">
        <is>
          <t>55095.00</t>
        </is>
      </c>
      <c r="M19" t="inlineStr">
        <is>
          <t>0.00</t>
        </is>
      </c>
      <c r="N19" t="inlineStr">
        <is>
          <t>0.00</t>
        </is>
      </c>
      <c r="O19" t="inlineStr">
        <is>
          <t>0.00</t>
        </is>
      </c>
      <c r="P19" t="inlineStr">
        <is>
          <t>0.00</t>
        </is>
      </c>
      <c r="Q19" t="inlineStr">
        <is>
          <t>0.00</t>
        </is>
      </c>
      <c r="R19" t="inlineStr">
        <is>
          <t>89157.00</t>
        </is>
      </c>
    </row>
    <row r="20">
      <c r="A20" t="inlineStr">
        <is>
          <t>6</t>
        </is>
      </c>
      <c r="B20" t="inlineStr">
        <is>
          <t>2227921</t>
        </is>
      </c>
      <c r="C20" t="inlineStr">
        <is>
          <t>KANCHAN
MANDAL
ASSISTANT
TEACHER</t>
        </is>
      </c>
      <c r="D20" t="inlineStr">
        <is>
          <t>28</t>
        </is>
      </c>
      <c r="E20" t="inlineStr">
        <is>
          <t>State Bank of
India</t>
        </is>
      </c>
      <c r="F20" t="inlineStr">
        <is>
          <t>46200.00</t>
        </is>
      </c>
      <c r="G20" t="inlineStr">
        <is>
          <t>24486.00</t>
        </is>
      </c>
      <c r="H20" t="inlineStr">
        <is>
          <t>1840.00</t>
        </is>
      </c>
      <c r="I20" t="inlineStr">
        <is>
          <t>0.00</t>
        </is>
      </c>
      <c r="J20" t="inlineStr">
        <is>
          <t>0.00</t>
        </is>
      </c>
      <c r="K20" t="inlineStr">
        <is>
          <t>72526.00</t>
        </is>
      </c>
      <c r="L20" t="inlineStr">
        <is>
          <t>0.00</t>
        </is>
      </c>
      <c r="M20" t="inlineStr">
        <is>
          <t>2698.00</t>
        </is>
      </c>
      <c r="N20" t="inlineStr">
        <is>
          <t>0.00</t>
        </is>
      </c>
      <c r="O20" t="inlineStr">
        <is>
          <t>0.00</t>
        </is>
      </c>
      <c r="P20" t="inlineStr">
        <is>
          <t>0.00</t>
        </is>
      </c>
      <c r="Q20" t="inlineStr">
        <is>
          <t>0.00</t>
        </is>
      </c>
      <c r="R20" t="inlineStr">
        <is>
          <t>0.00</t>
        </is>
      </c>
      <c r="S20" t="inlineStr">
        <is>
          <t>69</t>
        </is>
      </c>
    </row>
    <row r="21">
      <c r="E21" t="inlineStr">
        <is>
          <t>30682231608</t>
        </is>
      </c>
      <c r="F21" t="inlineStr">
        <is>
          <t>4600.00</t>
        </is>
      </c>
      <c r="G21" t="inlineStr">
        <is>
          <t>0.00</t>
        </is>
      </c>
      <c r="H21" t="inlineStr">
        <is>
          <t>0.00</t>
        </is>
      </c>
      <c r="I21" t="inlineStr">
        <is>
          <t>0.00</t>
        </is>
      </c>
      <c r="J21" t="inlineStr">
        <is>
          <t>0.00</t>
        </is>
      </c>
      <c r="L21" t="inlineStr">
        <is>
          <t>0.00</t>
        </is>
      </c>
      <c r="M21" t="inlineStr">
        <is>
          <t>0.00</t>
        </is>
      </c>
      <c r="N21" t="inlineStr">
        <is>
          <t>0.00</t>
        </is>
      </c>
      <c r="O21" t="inlineStr">
        <is>
          <t>0.00</t>
        </is>
      </c>
      <c r="P21" t="inlineStr">
        <is>
          <t>0.00</t>
        </is>
      </c>
      <c r="Q21" t="inlineStr">
        <is>
          <t>0.00</t>
        </is>
      </c>
      <c r="R21" t="inlineStr">
        <is>
          <t>2698.00</t>
        </is>
      </c>
    </row>
    <row r="22">
      <c r="A22" t="inlineStr">
        <is>
          <t>7</t>
        </is>
      </c>
      <c r="B22" t="inlineStr">
        <is>
          <t>1065752</t>
        </is>
      </c>
      <c r="C22" t="inlineStr">
        <is>
          <t>AKHILENDRA RAI
JUNIOR ASSISTANT</t>
        </is>
      </c>
      <c r="D22" t="inlineStr">
        <is>
          <t>28</t>
        </is>
      </c>
      <c r="E22" t="inlineStr">
        <is>
          <t>BANK OF
BARODA</t>
        </is>
      </c>
      <c r="F22" t="inlineStr">
        <is>
          <t>29300.00</t>
        </is>
      </c>
      <c r="G22" t="inlineStr">
        <is>
          <t>15529.00</t>
        </is>
      </c>
      <c r="H22" t="inlineStr">
        <is>
          <t>800.00</t>
        </is>
      </c>
      <c r="I22" t="inlineStr">
        <is>
          <t>0.00</t>
        </is>
      </c>
      <c r="J22" t="inlineStr">
        <is>
          <t>0.00</t>
        </is>
      </c>
      <c r="K22" t="inlineStr">
        <is>
          <t>45629.00</t>
        </is>
      </c>
      <c r="L22" t="inlineStr">
        <is>
          <t>87.00</t>
        </is>
      </c>
      <c r="M22" t="inlineStr">
        <is>
          <t>0.00</t>
        </is>
      </c>
      <c r="N22" t="inlineStr">
        <is>
          <t>0.00</t>
        </is>
      </c>
      <c r="O22" t="inlineStr">
        <is>
          <t>0.00</t>
        </is>
      </c>
      <c r="P22" t="inlineStr">
        <is>
          <t>0.00</t>
        </is>
      </c>
      <c r="Q22" t="inlineStr">
        <is>
          <t>0.00</t>
        </is>
      </c>
      <c r="R22" t="inlineStr">
        <is>
          <t>1379.00</t>
        </is>
      </c>
      <c r="S22" t="inlineStr">
        <is>
          <t>39</t>
        </is>
      </c>
    </row>
    <row r="23">
      <c r="E23" t="inlineStr">
        <is>
          <t>29770100017206</t>
        </is>
      </c>
      <c r="F23" t="inlineStr">
        <is>
          <t>2000.00</t>
        </is>
      </c>
      <c r="G23" t="inlineStr">
        <is>
          <t>0.00</t>
        </is>
      </c>
      <c r="H23" t="inlineStr">
        <is>
          <t>0.00</t>
        </is>
      </c>
      <c r="I23" t="inlineStr">
        <is>
          <t>0.00</t>
        </is>
      </c>
      <c r="J23" t="inlineStr">
        <is>
          <t>0.00</t>
        </is>
      </c>
      <c r="L23" t="inlineStr">
        <is>
          <t>4483.00</t>
        </is>
      </c>
      <c r="M23" t="inlineStr">
        <is>
          <t>0.00</t>
        </is>
      </c>
      <c r="N23" t="inlineStr">
        <is>
          <t>0.00</t>
        </is>
      </c>
      <c r="O23" t="inlineStr">
        <is>
          <t>0.00</t>
        </is>
      </c>
      <c r="P23" t="inlineStr">
        <is>
          <t>0.00</t>
        </is>
      </c>
      <c r="Q23" t="inlineStr">
        <is>
          <t>0.00</t>
        </is>
      </c>
      <c r="R23" t="inlineStr">
        <is>
          <t>5949.00</t>
        </is>
      </c>
    </row>
    <row r="24">
      <c r="A24" t="inlineStr">
        <is>
          <t>8</t>
        </is>
      </c>
      <c r="B24" t="inlineStr">
        <is>
          <t>1065795</t>
        </is>
      </c>
      <c r="C24" t="inlineStr">
        <is>
          <t>JAWAHIR RAWAT
SWEEPER</t>
        </is>
      </c>
      <c r="D24" t="inlineStr">
        <is>
          <t>28</t>
        </is>
      </c>
      <c r="E24" t="inlineStr">
        <is>
          <t>BANK OF
BARODA</t>
        </is>
      </c>
      <c r="F24" t="inlineStr">
        <is>
          <t>27600.00</t>
        </is>
      </c>
      <c r="G24" t="inlineStr">
        <is>
          <t>14628.00</t>
        </is>
      </c>
      <c r="H24" t="inlineStr">
        <is>
          <t>770.00</t>
        </is>
      </c>
      <c r="I24" t="inlineStr">
        <is>
          <t>0.00</t>
        </is>
      </c>
      <c r="J24" t="inlineStr">
        <is>
          <t>0.00</t>
        </is>
      </c>
      <c r="K24" t="inlineStr">
        <is>
          <t>42998.00</t>
        </is>
      </c>
      <c r="L24" t="inlineStr">
        <is>
          <t>87.00</t>
        </is>
      </c>
      <c r="M24" t="inlineStr">
        <is>
          <t>0.00</t>
        </is>
      </c>
      <c r="N24" t="inlineStr">
        <is>
          <t>0.00</t>
        </is>
      </c>
      <c r="O24" t="inlineStr">
        <is>
          <t>0.00</t>
        </is>
      </c>
      <c r="P24" t="inlineStr">
        <is>
          <t>0.00</t>
        </is>
      </c>
      <c r="Q24" t="inlineStr">
        <is>
          <t>0.00</t>
        </is>
      </c>
      <c r="R24" t="inlineStr">
        <is>
          <t>1632.00</t>
        </is>
      </c>
      <c r="S24" t="inlineStr">
        <is>
          <t>37</t>
        </is>
      </c>
    </row>
    <row r="25">
      <c r="E25" t="inlineStr">
        <is>
          <t>29770100013141</t>
        </is>
      </c>
      <c r="F25" t="inlineStr">
        <is>
          <t>1900.00</t>
        </is>
      </c>
      <c r="G25" t="inlineStr">
        <is>
          <t>0.00</t>
        </is>
      </c>
      <c r="H25" t="inlineStr">
        <is>
          <t>0.00</t>
        </is>
      </c>
      <c r="I25" t="inlineStr">
        <is>
          <t>0.00</t>
        </is>
      </c>
      <c r="J25" t="inlineStr">
        <is>
          <t>0.00</t>
        </is>
      </c>
      <c r="L25" t="inlineStr">
        <is>
          <t>4223.00</t>
        </is>
      </c>
      <c r="M25" t="inlineStr">
        <is>
          <t>0.00</t>
        </is>
      </c>
      <c r="N25" t="inlineStr">
        <is>
          <t>0.00</t>
        </is>
      </c>
      <c r="O25" t="inlineStr">
        <is>
          <t>0.00</t>
        </is>
      </c>
      <c r="P25" t="inlineStr">
        <is>
          <t>0.00</t>
        </is>
      </c>
      <c r="Q25" t="inlineStr">
        <is>
          <t>0.00</t>
        </is>
      </c>
      <c r="R25" t="inlineStr">
        <is>
          <t>5942.00</t>
        </is>
      </c>
    </row>
    <row r="26">
      <c r="A26" t="inlineStr">
        <is>
          <t>Total Amount</t>
        </is>
      </c>
      <c r="F26" t="inlineStr">
        <is>
          <t>406300.00</t>
        </is>
      </c>
      <c r="G26" t="inlineStr">
        <is>
          <t>215339.00</t>
        </is>
      </c>
      <c r="H26" t="inlineStr">
        <is>
          <t>12670.00</t>
        </is>
      </c>
      <c r="I26" t="inlineStr">
        <is>
          <t>0.00</t>
        </is>
      </c>
      <c r="J26" t="inlineStr">
        <is>
          <t>0.00</t>
        </is>
      </c>
      <c r="K26" t="inlineStr">
        <is>
          <t>634309.00</t>
        </is>
      </c>
      <c r="L26" t="inlineStr">
        <is>
          <t>522.00</t>
        </is>
      </c>
      <c r="M26" t="inlineStr">
        <is>
          <t>25397.00</t>
        </is>
      </c>
      <c r="N26" t="inlineStr">
        <is>
          <t>0.00</t>
        </is>
      </c>
      <c r="O26" t="inlineStr">
        <is>
          <t>0.00</t>
        </is>
      </c>
      <c r="P26" t="inlineStr">
        <is>
          <t>0.00</t>
        </is>
      </c>
      <c r="Q26" t="inlineStr">
        <is>
          <t>0.00</t>
        </is>
      </c>
      <c r="R26" t="inlineStr">
        <is>
          <t>8143.00</t>
        </is>
      </c>
      <c r="S26" t="inlineStr">
        <is>
          <t>545</t>
        </is>
      </c>
    </row>
    <row r="27">
      <c r="F27" t="inlineStr">
        <is>
          <t>31900.00</t>
        </is>
      </c>
      <c r="G27" t="inlineStr">
        <is>
          <t>0.00</t>
        </is>
      </c>
      <c r="H27" t="inlineStr">
        <is>
          <t>0.00</t>
        </is>
      </c>
      <c r="I27" t="inlineStr">
        <is>
          <t>0.00</t>
        </is>
      </c>
      <c r="J27" t="inlineStr">
        <is>
          <t>0.00</t>
        </is>
      </c>
      <c r="L27" t="inlineStr">
        <is>
          <t>55095.00</t>
        </is>
      </c>
      <c r="M27" t="inlineStr">
        <is>
          <t>0.00</t>
        </is>
      </c>
      <c r="N27" t="inlineStr">
        <is>
          <t>0.00</t>
        </is>
      </c>
      <c r="O27" t="inlineStr">
        <is>
          <t>0.00</t>
        </is>
      </c>
      <c r="P27" t="inlineStr">
        <is>
          <t>0.00</t>
        </is>
      </c>
      <c r="Q27" t="inlineStr">
        <is>
          <t>0.00</t>
        </is>
      </c>
      <c r="R27" t="inlineStr">
        <is>
          <t>89157.00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S62"/>
  <sheetViews>
    <sheetView workbookViewId="0">
      <selection activeCell="A1" sqref="A1"/>
    </sheetView>
  </sheetViews>
  <sheetFormatPr baseColWidth="8" defaultRowHeight="15"/>
  <cols>
    <col width="5" customWidth="1" min="1" max="1"/>
    <col width="12.77734375" customWidth="1" min="2" max="2"/>
    <col width="9.33203125" customWidth="1" min="3" max="3"/>
    <col width="9.88671875" customWidth="1" min="4" max="4"/>
    <col width="9.33203125" customWidth="1" min="6" max="6"/>
    <col width="9.88671875" customWidth="1" min="8" max="8"/>
    <col width="9.33203125" customWidth="1" min="9" max="9"/>
    <col width="9.33203125" customWidth="1" min="10" max="10"/>
    <col width="9.109375" customWidth="1" min="11" max="11"/>
    <col width="9.5546875" customWidth="1" min="12" max="12"/>
    <col width="9.109375" customWidth="1" min="13" max="13"/>
    <col width="5" customWidth="1" min="257" max="257"/>
    <col width="9.109375" customWidth="1" min="258" max="258"/>
    <col width="9.33203125" customWidth="1" min="259" max="259"/>
    <col width="9.88671875" customWidth="1" min="260" max="260"/>
    <col width="9.33203125" customWidth="1" min="262" max="262"/>
    <col width="9.88671875" customWidth="1" min="264" max="264"/>
    <col width="9.33203125" customWidth="1" min="265" max="265"/>
    <col width="9.109375" customWidth="1" min="267" max="267"/>
    <col width="5" customWidth="1" min="513" max="513"/>
    <col width="9.109375" customWidth="1" min="514" max="514"/>
    <col width="9.33203125" customWidth="1" min="515" max="515"/>
    <col width="9.88671875" customWidth="1" min="516" max="516"/>
    <col width="9.33203125" customWidth="1" min="518" max="518"/>
    <col width="9.88671875" customWidth="1" min="520" max="520"/>
    <col width="9.33203125" customWidth="1" min="521" max="521"/>
    <col width="9.109375" customWidth="1" min="523" max="523"/>
    <col width="5" customWidth="1" min="769" max="769"/>
    <col width="9.109375" customWidth="1" min="770" max="770"/>
    <col width="9.33203125" customWidth="1" min="771" max="771"/>
    <col width="9.88671875" customWidth="1" min="772" max="772"/>
    <col width="9.33203125" customWidth="1" min="774" max="774"/>
    <col width="9.88671875" customWidth="1" min="776" max="776"/>
    <col width="9.33203125" customWidth="1" min="777" max="777"/>
    <col width="9.109375" customWidth="1" min="779" max="779"/>
    <col width="5" customWidth="1" min="1025" max="1025"/>
    <col width="9.109375" customWidth="1" min="1026" max="1026"/>
    <col width="9.33203125" customWidth="1" min="1027" max="1027"/>
    <col width="9.88671875" customWidth="1" min="1028" max="1028"/>
    <col width="9.33203125" customWidth="1" min="1030" max="1030"/>
    <col width="9.88671875" customWidth="1" min="1032" max="1032"/>
    <col width="9.33203125" customWidth="1" min="1033" max="1033"/>
    <col width="9.109375" customWidth="1" min="1035" max="1035"/>
    <col width="5" customWidth="1" min="1281" max="1281"/>
    <col width="9.109375" customWidth="1" min="1282" max="1282"/>
    <col width="9.33203125" customWidth="1" min="1283" max="1283"/>
    <col width="9.88671875" customWidth="1" min="1284" max="1284"/>
    <col width="9.33203125" customWidth="1" min="1286" max="1286"/>
    <col width="9.88671875" customWidth="1" min="1288" max="1288"/>
    <col width="9.33203125" customWidth="1" min="1289" max="1289"/>
    <col width="9.109375" customWidth="1" min="1291" max="1291"/>
    <col width="5" customWidth="1" min="1537" max="1537"/>
    <col width="9.109375" customWidth="1" min="1538" max="1538"/>
    <col width="9.33203125" customWidth="1" min="1539" max="1539"/>
    <col width="9.88671875" customWidth="1" min="1540" max="1540"/>
    <col width="9.33203125" customWidth="1" min="1542" max="1542"/>
    <col width="9.88671875" customWidth="1" min="1544" max="1544"/>
    <col width="9.33203125" customWidth="1" min="1545" max="1545"/>
    <col width="9.109375" customWidth="1" min="1547" max="1547"/>
    <col width="5" customWidth="1" min="1793" max="1793"/>
    <col width="9.109375" customWidth="1" min="1794" max="1794"/>
    <col width="9.33203125" customWidth="1" min="1795" max="1795"/>
    <col width="9.88671875" customWidth="1" min="1796" max="1796"/>
    <col width="9.33203125" customWidth="1" min="1798" max="1798"/>
    <col width="9.88671875" customWidth="1" min="1800" max="1800"/>
    <col width="9.33203125" customWidth="1" min="1801" max="1801"/>
    <col width="9.109375" customWidth="1" min="1803" max="1803"/>
    <col width="5" customWidth="1" min="2049" max="2049"/>
    <col width="9.109375" customWidth="1" min="2050" max="2050"/>
    <col width="9.33203125" customWidth="1" min="2051" max="2051"/>
    <col width="9.88671875" customWidth="1" min="2052" max="2052"/>
    <col width="9.33203125" customWidth="1" min="2054" max="2054"/>
    <col width="9.88671875" customWidth="1" min="2056" max="2056"/>
    <col width="9.33203125" customWidth="1" min="2057" max="2057"/>
    <col width="9.109375" customWidth="1" min="2059" max="2059"/>
    <col width="5" customWidth="1" min="2305" max="2305"/>
    <col width="9.109375" customWidth="1" min="2306" max="2306"/>
    <col width="9.33203125" customWidth="1" min="2307" max="2307"/>
    <col width="9.88671875" customWidth="1" min="2308" max="2308"/>
    <col width="9.33203125" customWidth="1" min="2310" max="2310"/>
    <col width="9.88671875" customWidth="1" min="2312" max="2312"/>
    <col width="9.33203125" customWidth="1" min="2313" max="2313"/>
    <col width="9.109375" customWidth="1" min="2315" max="2315"/>
    <col width="5" customWidth="1" min="2561" max="2561"/>
    <col width="9.109375" customWidth="1" min="2562" max="2562"/>
    <col width="9.33203125" customWidth="1" min="2563" max="2563"/>
    <col width="9.88671875" customWidth="1" min="2564" max="2564"/>
    <col width="9.33203125" customWidth="1" min="2566" max="2566"/>
    <col width="9.88671875" customWidth="1" min="2568" max="2568"/>
    <col width="9.33203125" customWidth="1" min="2569" max="2569"/>
    <col width="9.109375" customWidth="1" min="2571" max="2571"/>
    <col width="5" customWidth="1" min="2817" max="2817"/>
    <col width="9.109375" customWidth="1" min="2818" max="2818"/>
    <col width="9.33203125" customWidth="1" min="2819" max="2819"/>
    <col width="9.88671875" customWidth="1" min="2820" max="2820"/>
    <col width="9.33203125" customWidth="1" min="2822" max="2822"/>
    <col width="9.88671875" customWidth="1" min="2824" max="2824"/>
    <col width="9.33203125" customWidth="1" min="2825" max="2825"/>
    <col width="9.109375" customWidth="1" min="2827" max="2827"/>
    <col width="5" customWidth="1" min="3073" max="3073"/>
    <col width="9.109375" customWidth="1" min="3074" max="3074"/>
    <col width="9.33203125" customWidth="1" min="3075" max="3075"/>
    <col width="9.88671875" customWidth="1" min="3076" max="3076"/>
    <col width="9.33203125" customWidth="1" min="3078" max="3078"/>
    <col width="9.88671875" customWidth="1" min="3080" max="3080"/>
    <col width="9.33203125" customWidth="1" min="3081" max="3081"/>
    <col width="9.109375" customWidth="1" min="3083" max="3083"/>
    <col width="5" customWidth="1" min="3329" max="3329"/>
    <col width="9.109375" customWidth="1" min="3330" max="3330"/>
    <col width="9.33203125" customWidth="1" min="3331" max="3331"/>
    <col width="9.88671875" customWidth="1" min="3332" max="3332"/>
    <col width="9.33203125" customWidth="1" min="3334" max="3334"/>
    <col width="9.88671875" customWidth="1" min="3336" max="3336"/>
    <col width="9.33203125" customWidth="1" min="3337" max="3337"/>
    <col width="9.109375" customWidth="1" min="3339" max="3339"/>
    <col width="5" customWidth="1" min="3585" max="3585"/>
    <col width="9.109375" customWidth="1" min="3586" max="3586"/>
    <col width="9.33203125" customWidth="1" min="3587" max="3587"/>
    <col width="9.88671875" customWidth="1" min="3588" max="3588"/>
    <col width="9.33203125" customWidth="1" min="3590" max="3590"/>
    <col width="9.88671875" customWidth="1" min="3592" max="3592"/>
    <col width="9.33203125" customWidth="1" min="3593" max="3593"/>
    <col width="9.109375" customWidth="1" min="3595" max="3595"/>
    <col width="5" customWidth="1" min="3841" max="3841"/>
    <col width="9.109375" customWidth="1" min="3842" max="3842"/>
    <col width="9.33203125" customWidth="1" min="3843" max="3843"/>
    <col width="9.88671875" customWidth="1" min="3844" max="3844"/>
    <col width="9.33203125" customWidth="1" min="3846" max="3846"/>
    <col width="9.88671875" customWidth="1" min="3848" max="3848"/>
    <col width="9.33203125" customWidth="1" min="3849" max="3849"/>
    <col width="9.109375" customWidth="1" min="3851" max="3851"/>
    <col width="5" customWidth="1" min="4097" max="4097"/>
    <col width="9.109375" customWidth="1" min="4098" max="4098"/>
    <col width="9.33203125" customWidth="1" min="4099" max="4099"/>
    <col width="9.88671875" customWidth="1" min="4100" max="4100"/>
    <col width="9.33203125" customWidth="1" min="4102" max="4102"/>
    <col width="9.88671875" customWidth="1" min="4104" max="4104"/>
    <col width="9.33203125" customWidth="1" min="4105" max="4105"/>
    <col width="9.109375" customWidth="1" min="4107" max="4107"/>
    <col width="5" customWidth="1" min="4353" max="4353"/>
    <col width="9.109375" customWidth="1" min="4354" max="4354"/>
    <col width="9.33203125" customWidth="1" min="4355" max="4355"/>
    <col width="9.88671875" customWidth="1" min="4356" max="4356"/>
    <col width="9.33203125" customWidth="1" min="4358" max="4358"/>
    <col width="9.88671875" customWidth="1" min="4360" max="4360"/>
    <col width="9.33203125" customWidth="1" min="4361" max="4361"/>
    <col width="9.109375" customWidth="1" min="4363" max="4363"/>
    <col width="5" customWidth="1" min="4609" max="4609"/>
    <col width="9.109375" customWidth="1" min="4610" max="4610"/>
    <col width="9.33203125" customWidth="1" min="4611" max="4611"/>
    <col width="9.88671875" customWidth="1" min="4612" max="4612"/>
    <col width="9.33203125" customWidth="1" min="4614" max="4614"/>
    <col width="9.88671875" customWidth="1" min="4616" max="4616"/>
    <col width="9.33203125" customWidth="1" min="4617" max="4617"/>
    <col width="9.109375" customWidth="1" min="4619" max="4619"/>
    <col width="5" customWidth="1" min="4865" max="4865"/>
    <col width="9.109375" customWidth="1" min="4866" max="4866"/>
    <col width="9.33203125" customWidth="1" min="4867" max="4867"/>
    <col width="9.88671875" customWidth="1" min="4868" max="4868"/>
    <col width="9.33203125" customWidth="1" min="4870" max="4870"/>
    <col width="9.88671875" customWidth="1" min="4872" max="4872"/>
    <col width="9.33203125" customWidth="1" min="4873" max="4873"/>
    <col width="9.109375" customWidth="1" min="4875" max="4875"/>
    <col width="5" customWidth="1" min="5121" max="5121"/>
    <col width="9.109375" customWidth="1" min="5122" max="5122"/>
    <col width="9.33203125" customWidth="1" min="5123" max="5123"/>
    <col width="9.88671875" customWidth="1" min="5124" max="5124"/>
    <col width="9.33203125" customWidth="1" min="5126" max="5126"/>
    <col width="9.88671875" customWidth="1" min="5128" max="5128"/>
    <col width="9.33203125" customWidth="1" min="5129" max="5129"/>
    <col width="9.109375" customWidth="1" min="5131" max="5131"/>
    <col width="5" customWidth="1" min="5377" max="5377"/>
    <col width="9.109375" customWidth="1" min="5378" max="5378"/>
    <col width="9.33203125" customWidth="1" min="5379" max="5379"/>
    <col width="9.88671875" customWidth="1" min="5380" max="5380"/>
    <col width="9.33203125" customWidth="1" min="5382" max="5382"/>
    <col width="9.88671875" customWidth="1" min="5384" max="5384"/>
    <col width="9.33203125" customWidth="1" min="5385" max="5385"/>
    <col width="9.109375" customWidth="1" min="5387" max="5387"/>
    <col width="5" customWidth="1" min="5633" max="5633"/>
    <col width="9.109375" customWidth="1" min="5634" max="5634"/>
    <col width="9.33203125" customWidth="1" min="5635" max="5635"/>
    <col width="9.88671875" customWidth="1" min="5636" max="5636"/>
    <col width="9.33203125" customWidth="1" min="5638" max="5638"/>
    <col width="9.88671875" customWidth="1" min="5640" max="5640"/>
    <col width="9.33203125" customWidth="1" min="5641" max="5641"/>
    <col width="9.109375" customWidth="1" min="5643" max="5643"/>
    <col width="5" customWidth="1" min="5889" max="5889"/>
    <col width="9.109375" customWidth="1" min="5890" max="5890"/>
    <col width="9.33203125" customWidth="1" min="5891" max="5891"/>
    <col width="9.88671875" customWidth="1" min="5892" max="5892"/>
    <col width="9.33203125" customWidth="1" min="5894" max="5894"/>
    <col width="9.88671875" customWidth="1" min="5896" max="5896"/>
    <col width="9.33203125" customWidth="1" min="5897" max="5897"/>
    <col width="9.109375" customWidth="1" min="5899" max="5899"/>
    <col width="5" customWidth="1" min="6145" max="6145"/>
    <col width="9.109375" customWidth="1" min="6146" max="6146"/>
    <col width="9.33203125" customWidth="1" min="6147" max="6147"/>
    <col width="9.88671875" customWidth="1" min="6148" max="6148"/>
    <col width="9.33203125" customWidth="1" min="6150" max="6150"/>
    <col width="9.88671875" customWidth="1" min="6152" max="6152"/>
    <col width="9.33203125" customWidth="1" min="6153" max="6153"/>
    <col width="9.109375" customWidth="1" min="6155" max="6155"/>
    <col width="5" customWidth="1" min="6401" max="6401"/>
    <col width="9.109375" customWidth="1" min="6402" max="6402"/>
    <col width="9.33203125" customWidth="1" min="6403" max="6403"/>
    <col width="9.88671875" customWidth="1" min="6404" max="6404"/>
    <col width="9.33203125" customWidth="1" min="6406" max="6406"/>
    <col width="9.88671875" customWidth="1" min="6408" max="6408"/>
    <col width="9.33203125" customWidth="1" min="6409" max="6409"/>
    <col width="9.109375" customWidth="1" min="6411" max="6411"/>
    <col width="5" customWidth="1" min="6657" max="6657"/>
    <col width="9.109375" customWidth="1" min="6658" max="6658"/>
    <col width="9.33203125" customWidth="1" min="6659" max="6659"/>
    <col width="9.88671875" customWidth="1" min="6660" max="6660"/>
    <col width="9.33203125" customWidth="1" min="6662" max="6662"/>
    <col width="9.88671875" customWidth="1" min="6664" max="6664"/>
    <col width="9.33203125" customWidth="1" min="6665" max="6665"/>
    <col width="9.109375" customWidth="1" min="6667" max="6667"/>
    <col width="5" customWidth="1" min="6913" max="6913"/>
    <col width="9.109375" customWidth="1" min="6914" max="6914"/>
    <col width="9.33203125" customWidth="1" min="6915" max="6915"/>
    <col width="9.88671875" customWidth="1" min="6916" max="6916"/>
    <col width="9.33203125" customWidth="1" min="6918" max="6918"/>
    <col width="9.88671875" customWidth="1" min="6920" max="6920"/>
    <col width="9.33203125" customWidth="1" min="6921" max="6921"/>
    <col width="9.109375" customWidth="1" min="6923" max="6923"/>
    <col width="5" customWidth="1" min="7169" max="7169"/>
    <col width="9.109375" customWidth="1" min="7170" max="7170"/>
    <col width="9.33203125" customWidth="1" min="7171" max="7171"/>
    <col width="9.88671875" customWidth="1" min="7172" max="7172"/>
    <col width="9.33203125" customWidth="1" min="7174" max="7174"/>
    <col width="9.88671875" customWidth="1" min="7176" max="7176"/>
    <col width="9.33203125" customWidth="1" min="7177" max="7177"/>
    <col width="9.109375" customWidth="1" min="7179" max="7179"/>
    <col width="5" customWidth="1" min="7425" max="7425"/>
    <col width="9.109375" customWidth="1" min="7426" max="7426"/>
    <col width="9.33203125" customWidth="1" min="7427" max="7427"/>
    <col width="9.88671875" customWidth="1" min="7428" max="7428"/>
    <col width="9.33203125" customWidth="1" min="7430" max="7430"/>
    <col width="9.88671875" customWidth="1" min="7432" max="7432"/>
    <col width="9.33203125" customWidth="1" min="7433" max="7433"/>
    <col width="9.109375" customWidth="1" min="7435" max="7435"/>
    <col width="5" customWidth="1" min="7681" max="7681"/>
    <col width="9.109375" customWidth="1" min="7682" max="7682"/>
    <col width="9.33203125" customWidth="1" min="7683" max="7683"/>
    <col width="9.88671875" customWidth="1" min="7684" max="7684"/>
    <col width="9.33203125" customWidth="1" min="7686" max="7686"/>
    <col width="9.88671875" customWidth="1" min="7688" max="7688"/>
    <col width="9.33203125" customWidth="1" min="7689" max="7689"/>
    <col width="9.109375" customWidth="1" min="7691" max="7691"/>
    <col width="5" customWidth="1" min="7937" max="7937"/>
    <col width="9.109375" customWidth="1" min="7938" max="7938"/>
    <col width="9.33203125" customWidth="1" min="7939" max="7939"/>
    <col width="9.88671875" customWidth="1" min="7940" max="7940"/>
    <col width="9.33203125" customWidth="1" min="7942" max="7942"/>
    <col width="9.88671875" customWidth="1" min="7944" max="7944"/>
    <col width="9.33203125" customWidth="1" min="7945" max="7945"/>
    <col width="9.109375" customWidth="1" min="7947" max="7947"/>
    <col width="5" customWidth="1" min="8193" max="8193"/>
    <col width="9.109375" customWidth="1" min="8194" max="8194"/>
    <col width="9.33203125" customWidth="1" min="8195" max="8195"/>
    <col width="9.88671875" customWidth="1" min="8196" max="8196"/>
    <col width="9.33203125" customWidth="1" min="8198" max="8198"/>
    <col width="9.88671875" customWidth="1" min="8200" max="8200"/>
    <col width="9.33203125" customWidth="1" min="8201" max="8201"/>
    <col width="9.109375" customWidth="1" min="8203" max="8203"/>
    <col width="5" customWidth="1" min="8449" max="8449"/>
    <col width="9.109375" customWidth="1" min="8450" max="8450"/>
    <col width="9.33203125" customWidth="1" min="8451" max="8451"/>
    <col width="9.88671875" customWidth="1" min="8452" max="8452"/>
    <col width="9.33203125" customWidth="1" min="8454" max="8454"/>
    <col width="9.88671875" customWidth="1" min="8456" max="8456"/>
    <col width="9.33203125" customWidth="1" min="8457" max="8457"/>
    <col width="9.109375" customWidth="1" min="8459" max="8459"/>
    <col width="5" customWidth="1" min="8705" max="8705"/>
    <col width="9.109375" customWidth="1" min="8706" max="8706"/>
    <col width="9.33203125" customWidth="1" min="8707" max="8707"/>
    <col width="9.88671875" customWidth="1" min="8708" max="8708"/>
    <col width="9.33203125" customWidth="1" min="8710" max="8710"/>
    <col width="9.88671875" customWidth="1" min="8712" max="8712"/>
    <col width="9.33203125" customWidth="1" min="8713" max="8713"/>
    <col width="9.109375" customWidth="1" min="8715" max="8715"/>
    <col width="5" customWidth="1" min="8961" max="8961"/>
    <col width="9.109375" customWidth="1" min="8962" max="8962"/>
    <col width="9.33203125" customWidth="1" min="8963" max="8963"/>
    <col width="9.88671875" customWidth="1" min="8964" max="8964"/>
    <col width="9.33203125" customWidth="1" min="8966" max="8966"/>
    <col width="9.88671875" customWidth="1" min="8968" max="8968"/>
    <col width="9.33203125" customWidth="1" min="8969" max="8969"/>
    <col width="9.109375" customWidth="1" min="8971" max="8971"/>
    <col width="5" customWidth="1" min="9217" max="9217"/>
    <col width="9.109375" customWidth="1" min="9218" max="9218"/>
    <col width="9.33203125" customWidth="1" min="9219" max="9219"/>
    <col width="9.88671875" customWidth="1" min="9220" max="9220"/>
    <col width="9.33203125" customWidth="1" min="9222" max="9222"/>
    <col width="9.88671875" customWidth="1" min="9224" max="9224"/>
    <col width="9.33203125" customWidth="1" min="9225" max="9225"/>
    <col width="9.109375" customWidth="1" min="9227" max="9227"/>
    <col width="5" customWidth="1" min="9473" max="9473"/>
    <col width="9.109375" customWidth="1" min="9474" max="9474"/>
    <col width="9.33203125" customWidth="1" min="9475" max="9475"/>
    <col width="9.88671875" customWidth="1" min="9476" max="9476"/>
    <col width="9.33203125" customWidth="1" min="9478" max="9478"/>
    <col width="9.88671875" customWidth="1" min="9480" max="9480"/>
    <col width="9.33203125" customWidth="1" min="9481" max="9481"/>
    <col width="9.109375" customWidth="1" min="9483" max="9483"/>
    <col width="5" customWidth="1" min="9729" max="9729"/>
    <col width="9.109375" customWidth="1" min="9730" max="9730"/>
    <col width="9.33203125" customWidth="1" min="9731" max="9731"/>
    <col width="9.88671875" customWidth="1" min="9732" max="9732"/>
    <col width="9.33203125" customWidth="1" min="9734" max="9734"/>
    <col width="9.88671875" customWidth="1" min="9736" max="9736"/>
    <col width="9.33203125" customWidth="1" min="9737" max="9737"/>
    <col width="9.109375" customWidth="1" min="9739" max="9739"/>
    <col width="5" customWidth="1" min="9985" max="9985"/>
    <col width="9.109375" customWidth="1" min="9986" max="9986"/>
    <col width="9.33203125" customWidth="1" min="9987" max="9987"/>
    <col width="9.88671875" customWidth="1" min="9988" max="9988"/>
    <col width="9.33203125" customWidth="1" min="9990" max="9990"/>
    <col width="9.88671875" customWidth="1" min="9992" max="9992"/>
    <col width="9.33203125" customWidth="1" min="9993" max="9993"/>
    <col width="9.109375" customWidth="1" min="9995" max="9995"/>
    <col width="5" customWidth="1" min="10241" max="10241"/>
    <col width="9.109375" customWidth="1" min="10242" max="10242"/>
    <col width="9.33203125" customWidth="1" min="10243" max="10243"/>
    <col width="9.88671875" customWidth="1" min="10244" max="10244"/>
    <col width="9.33203125" customWidth="1" min="10246" max="10246"/>
    <col width="9.88671875" customWidth="1" min="10248" max="10248"/>
    <col width="9.33203125" customWidth="1" min="10249" max="10249"/>
    <col width="9.109375" customWidth="1" min="10251" max="10251"/>
    <col width="5" customWidth="1" min="10497" max="10497"/>
    <col width="9.109375" customWidth="1" min="10498" max="10498"/>
    <col width="9.33203125" customWidth="1" min="10499" max="10499"/>
    <col width="9.88671875" customWidth="1" min="10500" max="10500"/>
    <col width="9.33203125" customWidth="1" min="10502" max="10502"/>
    <col width="9.88671875" customWidth="1" min="10504" max="10504"/>
    <col width="9.33203125" customWidth="1" min="10505" max="10505"/>
    <col width="9.109375" customWidth="1" min="10507" max="10507"/>
    <col width="5" customWidth="1" min="10753" max="10753"/>
    <col width="9.109375" customWidth="1" min="10754" max="10754"/>
    <col width="9.33203125" customWidth="1" min="10755" max="10755"/>
    <col width="9.88671875" customWidth="1" min="10756" max="10756"/>
    <col width="9.33203125" customWidth="1" min="10758" max="10758"/>
    <col width="9.88671875" customWidth="1" min="10760" max="10760"/>
    <col width="9.33203125" customWidth="1" min="10761" max="10761"/>
    <col width="9.109375" customWidth="1" min="10763" max="10763"/>
    <col width="5" customWidth="1" min="11009" max="11009"/>
    <col width="9.109375" customWidth="1" min="11010" max="11010"/>
    <col width="9.33203125" customWidth="1" min="11011" max="11011"/>
    <col width="9.88671875" customWidth="1" min="11012" max="11012"/>
    <col width="9.33203125" customWidth="1" min="11014" max="11014"/>
    <col width="9.88671875" customWidth="1" min="11016" max="11016"/>
    <col width="9.33203125" customWidth="1" min="11017" max="11017"/>
    <col width="9.109375" customWidth="1" min="11019" max="11019"/>
    <col width="5" customWidth="1" min="11265" max="11265"/>
    <col width="9.109375" customWidth="1" min="11266" max="11266"/>
    <col width="9.33203125" customWidth="1" min="11267" max="11267"/>
    <col width="9.88671875" customWidth="1" min="11268" max="11268"/>
    <col width="9.33203125" customWidth="1" min="11270" max="11270"/>
    <col width="9.88671875" customWidth="1" min="11272" max="11272"/>
    <col width="9.33203125" customWidth="1" min="11273" max="11273"/>
    <col width="9.109375" customWidth="1" min="11275" max="11275"/>
    <col width="5" customWidth="1" min="11521" max="11521"/>
    <col width="9.109375" customWidth="1" min="11522" max="11522"/>
    <col width="9.33203125" customWidth="1" min="11523" max="11523"/>
    <col width="9.88671875" customWidth="1" min="11524" max="11524"/>
    <col width="9.33203125" customWidth="1" min="11526" max="11526"/>
    <col width="9.88671875" customWidth="1" min="11528" max="11528"/>
    <col width="9.33203125" customWidth="1" min="11529" max="11529"/>
    <col width="9.109375" customWidth="1" min="11531" max="11531"/>
    <col width="5" customWidth="1" min="11777" max="11777"/>
    <col width="9.109375" customWidth="1" min="11778" max="11778"/>
    <col width="9.33203125" customWidth="1" min="11779" max="11779"/>
    <col width="9.88671875" customWidth="1" min="11780" max="11780"/>
    <col width="9.33203125" customWidth="1" min="11782" max="11782"/>
    <col width="9.88671875" customWidth="1" min="11784" max="11784"/>
    <col width="9.33203125" customWidth="1" min="11785" max="11785"/>
    <col width="9.109375" customWidth="1" min="11787" max="11787"/>
    <col width="5" customWidth="1" min="12033" max="12033"/>
    <col width="9.109375" customWidth="1" min="12034" max="12034"/>
    <col width="9.33203125" customWidth="1" min="12035" max="12035"/>
    <col width="9.88671875" customWidth="1" min="12036" max="12036"/>
    <col width="9.33203125" customWidth="1" min="12038" max="12038"/>
    <col width="9.88671875" customWidth="1" min="12040" max="12040"/>
    <col width="9.33203125" customWidth="1" min="12041" max="12041"/>
    <col width="9.109375" customWidth="1" min="12043" max="12043"/>
    <col width="5" customWidth="1" min="12289" max="12289"/>
    <col width="9.109375" customWidth="1" min="12290" max="12290"/>
    <col width="9.33203125" customWidth="1" min="12291" max="12291"/>
    <col width="9.88671875" customWidth="1" min="12292" max="12292"/>
    <col width="9.33203125" customWidth="1" min="12294" max="12294"/>
    <col width="9.88671875" customWidth="1" min="12296" max="12296"/>
    <col width="9.33203125" customWidth="1" min="12297" max="12297"/>
    <col width="9.109375" customWidth="1" min="12299" max="12299"/>
    <col width="5" customWidth="1" min="12545" max="12545"/>
    <col width="9.109375" customWidth="1" min="12546" max="12546"/>
    <col width="9.33203125" customWidth="1" min="12547" max="12547"/>
    <col width="9.88671875" customWidth="1" min="12548" max="12548"/>
    <col width="9.33203125" customWidth="1" min="12550" max="12550"/>
    <col width="9.88671875" customWidth="1" min="12552" max="12552"/>
    <col width="9.33203125" customWidth="1" min="12553" max="12553"/>
    <col width="9.109375" customWidth="1" min="12555" max="12555"/>
    <col width="5" customWidth="1" min="12801" max="12801"/>
    <col width="9.109375" customWidth="1" min="12802" max="12802"/>
    <col width="9.33203125" customWidth="1" min="12803" max="12803"/>
    <col width="9.88671875" customWidth="1" min="12804" max="12804"/>
    <col width="9.33203125" customWidth="1" min="12806" max="12806"/>
    <col width="9.88671875" customWidth="1" min="12808" max="12808"/>
    <col width="9.33203125" customWidth="1" min="12809" max="12809"/>
    <col width="9.109375" customWidth="1" min="12811" max="12811"/>
    <col width="5" customWidth="1" min="13057" max="13057"/>
    <col width="9.109375" customWidth="1" min="13058" max="13058"/>
    <col width="9.33203125" customWidth="1" min="13059" max="13059"/>
    <col width="9.88671875" customWidth="1" min="13060" max="13060"/>
    <col width="9.33203125" customWidth="1" min="13062" max="13062"/>
    <col width="9.88671875" customWidth="1" min="13064" max="13064"/>
    <col width="9.33203125" customWidth="1" min="13065" max="13065"/>
    <col width="9.109375" customWidth="1" min="13067" max="13067"/>
    <col width="5" customWidth="1" min="13313" max="13313"/>
    <col width="9.109375" customWidth="1" min="13314" max="13314"/>
    <col width="9.33203125" customWidth="1" min="13315" max="13315"/>
    <col width="9.88671875" customWidth="1" min="13316" max="13316"/>
    <col width="9.33203125" customWidth="1" min="13318" max="13318"/>
    <col width="9.88671875" customWidth="1" min="13320" max="13320"/>
    <col width="9.33203125" customWidth="1" min="13321" max="13321"/>
    <col width="9.109375" customWidth="1" min="13323" max="13323"/>
    <col width="5" customWidth="1" min="13569" max="13569"/>
    <col width="9.109375" customWidth="1" min="13570" max="13570"/>
    <col width="9.33203125" customWidth="1" min="13571" max="13571"/>
    <col width="9.88671875" customWidth="1" min="13572" max="13572"/>
    <col width="9.33203125" customWidth="1" min="13574" max="13574"/>
    <col width="9.88671875" customWidth="1" min="13576" max="13576"/>
    <col width="9.33203125" customWidth="1" min="13577" max="13577"/>
    <col width="9.109375" customWidth="1" min="13579" max="13579"/>
    <col width="5" customWidth="1" min="13825" max="13825"/>
    <col width="9.109375" customWidth="1" min="13826" max="13826"/>
    <col width="9.33203125" customWidth="1" min="13827" max="13827"/>
    <col width="9.88671875" customWidth="1" min="13828" max="13828"/>
    <col width="9.33203125" customWidth="1" min="13830" max="13830"/>
    <col width="9.88671875" customWidth="1" min="13832" max="13832"/>
    <col width="9.33203125" customWidth="1" min="13833" max="13833"/>
    <col width="9.109375" customWidth="1" min="13835" max="13835"/>
    <col width="5" customWidth="1" min="14081" max="14081"/>
    <col width="9.109375" customWidth="1" min="14082" max="14082"/>
    <col width="9.33203125" customWidth="1" min="14083" max="14083"/>
    <col width="9.88671875" customWidth="1" min="14084" max="14084"/>
    <col width="9.33203125" customWidth="1" min="14086" max="14086"/>
    <col width="9.88671875" customWidth="1" min="14088" max="14088"/>
    <col width="9.33203125" customWidth="1" min="14089" max="14089"/>
    <col width="9.109375" customWidth="1" min="14091" max="14091"/>
    <col width="5" customWidth="1" min="14337" max="14337"/>
    <col width="9.109375" customWidth="1" min="14338" max="14338"/>
    <col width="9.33203125" customWidth="1" min="14339" max="14339"/>
    <col width="9.88671875" customWidth="1" min="14340" max="14340"/>
    <col width="9.33203125" customWidth="1" min="14342" max="14342"/>
    <col width="9.88671875" customWidth="1" min="14344" max="14344"/>
    <col width="9.33203125" customWidth="1" min="14345" max="14345"/>
    <col width="9.109375" customWidth="1" min="14347" max="14347"/>
    <col width="5" customWidth="1" min="14593" max="14593"/>
    <col width="9.109375" customWidth="1" min="14594" max="14594"/>
    <col width="9.33203125" customWidth="1" min="14595" max="14595"/>
    <col width="9.88671875" customWidth="1" min="14596" max="14596"/>
    <col width="9.33203125" customWidth="1" min="14598" max="14598"/>
    <col width="9.88671875" customWidth="1" min="14600" max="14600"/>
    <col width="9.33203125" customWidth="1" min="14601" max="14601"/>
    <col width="9.109375" customWidth="1" min="14603" max="14603"/>
    <col width="5" customWidth="1" min="14849" max="14849"/>
    <col width="9.109375" customWidth="1" min="14850" max="14850"/>
    <col width="9.33203125" customWidth="1" min="14851" max="14851"/>
    <col width="9.88671875" customWidth="1" min="14852" max="14852"/>
    <col width="9.33203125" customWidth="1" min="14854" max="14854"/>
    <col width="9.88671875" customWidth="1" min="14856" max="14856"/>
    <col width="9.33203125" customWidth="1" min="14857" max="14857"/>
    <col width="9.109375" customWidth="1" min="14859" max="14859"/>
    <col width="5" customWidth="1" min="15105" max="15105"/>
    <col width="9.109375" customWidth="1" min="15106" max="15106"/>
    <col width="9.33203125" customWidth="1" min="15107" max="15107"/>
    <col width="9.88671875" customWidth="1" min="15108" max="15108"/>
    <col width="9.33203125" customWidth="1" min="15110" max="15110"/>
    <col width="9.88671875" customWidth="1" min="15112" max="15112"/>
    <col width="9.33203125" customWidth="1" min="15113" max="15113"/>
    <col width="9.109375" customWidth="1" min="15115" max="15115"/>
    <col width="5" customWidth="1" min="15361" max="15361"/>
    <col width="9.109375" customWidth="1" min="15362" max="15362"/>
    <col width="9.33203125" customWidth="1" min="15363" max="15363"/>
    <col width="9.88671875" customWidth="1" min="15364" max="15364"/>
    <col width="9.33203125" customWidth="1" min="15366" max="15366"/>
    <col width="9.88671875" customWidth="1" min="15368" max="15368"/>
    <col width="9.33203125" customWidth="1" min="15369" max="15369"/>
    <col width="9.109375" customWidth="1" min="15371" max="15371"/>
    <col width="5" customWidth="1" min="15617" max="15617"/>
    <col width="9.109375" customWidth="1" min="15618" max="15618"/>
    <col width="9.33203125" customWidth="1" min="15619" max="15619"/>
    <col width="9.88671875" customWidth="1" min="15620" max="15620"/>
    <col width="9.33203125" customWidth="1" min="15622" max="15622"/>
    <col width="9.88671875" customWidth="1" min="15624" max="15624"/>
    <col width="9.33203125" customWidth="1" min="15625" max="15625"/>
    <col width="9.109375" customWidth="1" min="15627" max="15627"/>
    <col width="5" customWidth="1" min="15873" max="15873"/>
    <col width="9.109375" customWidth="1" min="15874" max="15874"/>
    <col width="9.33203125" customWidth="1" min="15875" max="15875"/>
    <col width="9.88671875" customWidth="1" min="15876" max="15876"/>
    <col width="9.33203125" customWidth="1" min="15878" max="15878"/>
    <col width="9.88671875" customWidth="1" min="15880" max="15880"/>
    <col width="9.33203125" customWidth="1" min="15881" max="15881"/>
    <col width="9.109375" customWidth="1" min="15883" max="15883"/>
    <col width="5" customWidth="1" min="16129" max="16129"/>
    <col width="9.109375" customWidth="1" min="16130" max="16130"/>
    <col width="9.33203125" customWidth="1" min="16131" max="16131"/>
    <col width="9.88671875" customWidth="1" min="16132" max="16132"/>
    <col width="9.33203125" customWidth="1" min="16134" max="16134"/>
    <col width="9.88671875" customWidth="1" min="16136" max="16136"/>
    <col width="9.33203125" customWidth="1" min="16137" max="16137"/>
    <col width="9.109375" customWidth="1" min="16139" max="16139"/>
  </cols>
  <sheetData>
    <row r="1">
      <c r="A1" s="1" t="inlineStr">
        <is>
          <t xml:space="preserve">विद्यालय का नाम </t>
        </is>
      </c>
    </row>
    <row r="2">
      <c r="A2" s="2" t="inlineStr">
        <is>
          <t>vuqnku&amp;izi= ^x*</t>
        </is>
      </c>
    </row>
    <row r="3">
      <c r="B3" s="3">
        <f>'[1]May 12'!R1</f>
        <v/>
      </c>
      <c r="C3" s="4" t="n"/>
      <c r="D3" s="4" t="n"/>
      <c r="E3" s="4" t="n"/>
      <c r="G3" s="4" t="n"/>
      <c r="H3" s="4" t="n"/>
      <c r="I3" s="5" t="inlineStr">
        <is>
          <t xml:space="preserve">   माह अक्टूबर 2024</t>
        </is>
      </c>
      <c r="J3" s="6" t="n"/>
      <c r="M3" s="7" t="inlineStr">
        <is>
          <t> </t>
        </is>
      </c>
    </row>
    <row r="4">
      <c r="A4" s="8" t="n"/>
      <c r="B4" s="9" t="inlineStr">
        <is>
          <t xml:space="preserve">deZpkjh dk fooj.k </t>
        </is>
      </c>
      <c r="C4" s="9" t="inlineStr">
        <is>
          <t xml:space="preserve">l`ftr in </t>
        </is>
      </c>
      <c r="D4" s="9" t="inlineStr">
        <is>
          <t xml:space="preserve">dk;Zjr in </t>
        </is>
      </c>
      <c r="E4" s="9" t="inlineStr">
        <is>
          <t>fjDr in</t>
        </is>
      </c>
      <c r="F4" s="10" t="inlineStr">
        <is>
          <t>gkbZdksVZ ls osru izkIr djus okys deZpkfj;ksa dh /kujkf'k</t>
        </is>
      </c>
      <c r="G4" s="11" t="n"/>
      <c r="H4" s="11" t="n"/>
      <c r="I4" s="11" t="n"/>
      <c r="J4" s="11" t="n"/>
    </row>
    <row r="5">
      <c r="A5" s="12" t="n">
        <v>1</v>
      </c>
      <c r="B5" s="13" t="inlineStr">
        <is>
          <t>iz/kkukpk;Z</t>
        </is>
      </c>
      <c r="C5" s="14" t="n"/>
      <c r="D5" s="14" t="n"/>
      <c r="E5" s="14" t="n"/>
      <c r="F5" s="15" t="n"/>
      <c r="G5" s="15" t="n"/>
      <c r="H5" s="15" t="n"/>
      <c r="I5" s="15" t="n"/>
      <c r="J5" s="16" t="n"/>
    </row>
    <row r="6">
      <c r="A6" s="12" t="n">
        <v>2</v>
      </c>
      <c r="B6" s="13" t="inlineStr">
        <is>
          <t>izoDrk</t>
        </is>
      </c>
      <c r="C6" s="14" t="n"/>
      <c r="D6" s="14" t="n"/>
      <c r="E6" s="14" t="n"/>
      <c r="F6" s="4" t="n"/>
      <c r="G6" s="4" t="n"/>
      <c r="H6" s="4" t="n"/>
      <c r="I6" s="4" t="n"/>
      <c r="J6" s="17" t="n"/>
    </row>
    <row r="7">
      <c r="A7" s="12" t="n">
        <v>3</v>
      </c>
      <c r="B7" s="13" t="inlineStr">
        <is>
          <t>,y0Vh0</t>
        </is>
      </c>
      <c r="C7" s="14" t="n"/>
      <c r="D7" s="14" t="n"/>
      <c r="E7" s="14" t="n"/>
      <c r="F7" s="15" t="n"/>
      <c r="G7" s="15" t="n"/>
      <c r="H7" s="15" t="n"/>
      <c r="I7" s="15" t="n"/>
      <c r="J7" s="16" t="n"/>
    </row>
    <row r="8">
      <c r="A8" s="12" t="n">
        <v>4</v>
      </c>
      <c r="B8" s="13" t="inlineStr">
        <is>
          <t>lh0Vh0</t>
        </is>
      </c>
      <c r="C8" s="14" t="n"/>
      <c r="D8" s="14" t="n"/>
      <c r="E8" s="14" t="n"/>
      <c r="F8" s="4" t="n"/>
      <c r="G8" s="4" t="n"/>
      <c r="H8" s="4" t="n"/>
      <c r="I8" s="4" t="n"/>
      <c r="J8" s="17" t="n"/>
    </row>
    <row r="9">
      <c r="A9" s="12" t="n">
        <v>5</v>
      </c>
      <c r="B9" s="13" t="inlineStr">
        <is>
          <t>iz0fyfid</t>
        </is>
      </c>
      <c r="C9" s="14" t="n"/>
      <c r="D9" s="14" t="n"/>
      <c r="E9" s="14" t="n"/>
      <c r="F9" s="15" t="n"/>
      <c r="G9" s="15" t="inlineStr">
        <is>
          <t xml:space="preserve"> 'kwU;</t>
        </is>
      </c>
      <c r="H9" s="15" t="n"/>
      <c r="I9" s="15" t="n"/>
      <c r="J9" s="16" t="n"/>
    </row>
    <row r="10">
      <c r="A10" s="12" t="n">
        <v>6</v>
      </c>
      <c r="B10" s="13" t="inlineStr">
        <is>
          <t>l0fyfid</t>
        </is>
      </c>
      <c r="C10" s="14" t="n"/>
      <c r="D10" s="14" t="n"/>
      <c r="E10" s="14" t="n"/>
      <c r="F10" s="4" t="n"/>
      <c r="G10" s="4" t="n"/>
      <c r="H10" s="4" t="n"/>
      <c r="I10" s="4" t="n"/>
      <c r="J10" s="17" t="n"/>
    </row>
    <row r="11">
      <c r="A11" s="12" t="n">
        <v>7</v>
      </c>
      <c r="B11" s="13" t="inlineStr">
        <is>
          <t>n¶rjh</t>
        </is>
      </c>
      <c r="C11" s="14" t="n"/>
      <c r="D11" s="14" t="n"/>
      <c r="E11" s="14" t="n"/>
      <c r="F11" s="15" t="n"/>
      <c r="G11" s="15" t="n"/>
      <c r="H11" s="15" t="n"/>
      <c r="I11" s="15" t="n"/>
      <c r="J11" s="16" t="n"/>
    </row>
    <row r="12">
      <c r="A12" s="12" t="n">
        <v>8</v>
      </c>
      <c r="B12" s="13" t="inlineStr">
        <is>
          <t>ifjpkjd</t>
        </is>
      </c>
      <c r="C12" s="14" t="n"/>
      <c r="D12" s="14" t="n"/>
      <c r="E12" s="14" t="n"/>
      <c r="F12" s="15" t="n"/>
      <c r="G12" s="15" t="n"/>
      <c r="H12" s="15" t="n"/>
      <c r="I12" s="15" t="n"/>
      <c r="J12" s="16" t="n"/>
    </row>
    <row r="13">
      <c r="A13" s="18" t="n"/>
      <c r="B13" s="19" t="inlineStr">
        <is>
          <t>;ksx&amp;</t>
        </is>
      </c>
      <c r="C13" s="20" t="n"/>
      <c r="D13" s="20" t="n"/>
      <c r="E13" s="20" t="n"/>
      <c r="F13" s="21" t="n"/>
      <c r="G13" s="21" t="n"/>
      <c r="H13" s="21" t="n"/>
      <c r="I13" s="21" t="n"/>
      <c r="J13" s="22" t="n"/>
    </row>
    <row r="14">
      <c r="A14" s="23" t="inlineStr">
        <is>
          <t>Nk=kas dh  la[;k</t>
        </is>
      </c>
      <c r="B14" s="11" t="n"/>
      <c r="C14" s="11" t="n"/>
      <c r="D14" s="11" t="n"/>
      <c r="E14" s="11" t="n"/>
      <c r="F14" s="11" t="n"/>
      <c r="G14" s="11" t="n"/>
      <c r="H14" s="11" t="n"/>
      <c r="I14" s="11" t="n"/>
      <c r="J14" s="11" t="n"/>
    </row>
    <row r="15">
      <c r="A15" s="9" t="inlineStr">
        <is>
          <t>Nk= oxZ</t>
        </is>
      </c>
      <c r="B15" s="24" t="n"/>
      <c r="C15" s="25" t="inlineStr">
        <is>
          <t xml:space="preserve">oxZokj Nk= la[;k dk fooj.k </t>
        </is>
      </c>
      <c r="D15" s="11" t="n"/>
      <c r="E15" s="11" t="n"/>
      <c r="F15" s="11" t="n"/>
      <c r="G15" s="11" t="n"/>
      <c r="H15" s="11" t="n"/>
      <c r="I15" s="11" t="n"/>
      <c r="J15" s="11" t="n"/>
    </row>
    <row r="16">
      <c r="A16" s="26" t="n"/>
      <c r="B16" s="27" t="n"/>
      <c r="C16" s="28" t="n">
        <v>6</v>
      </c>
      <c r="D16" s="28" t="n">
        <v>7</v>
      </c>
      <c r="E16" s="28" t="n">
        <v>8</v>
      </c>
      <c r="F16" s="28" t="n">
        <v>9</v>
      </c>
      <c r="G16" s="28" t="n">
        <v>10</v>
      </c>
      <c r="H16" s="28" t="n">
        <v>11</v>
      </c>
      <c r="I16" s="28" t="n">
        <v>12</v>
      </c>
      <c r="J16" s="29" t="inlineStr">
        <is>
          <t>;ksx</t>
        </is>
      </c>
    </row>
    <row r="17">
      <c r="A17" s="30" t="inlineStr">
        <is>
          <t>lkekU; ckyd</t>
        </is>
      </c>
      <c r="B17" s="31" t="n"/>
      <c r="C17" s="14" t="n"/>
      <c r="D17" s="14" t="n"/>
      <c r="E17" s="14" t="n"/>
      <c r="F17" s="14" t="n"/>
      <c r="G17" s="14" t="n"/>
      <c r="H17" s="14" t="n"/>
      <c r="I17" s="14" t="n"/>
      <c r="J17" s="32" t="n"/>
    </row>
    <row r="18">
      <c r="A18" s="30" t="inlineStr">
        <is>
          <t>ckfydk</t>
        </is>
      </c>
      <c r="B18" s="31" t="n"/>
      <c r="C18" s="14" t="n"/>
      <c r="D18" s="14" t="n"/>
      <c r="E18" s="14" t="n"/>
      <c r="F18" s="14" t="n"/>
      <c r="G18" s="14" t="n"/>
      <c r="H18" s="14" t="n"/>
      <c r="I18" s="14" t="n"/>
      <c r="J18" s="32" t="n"/>
    </row>
    <row r="19">
      <c r="A19" s="30" t="inlineStr">
        <is>
          <t>fiNM+h ckyd</t>
        </is>
      </c>
      <c r="B19" s="31" t="n"/>
      <c r="C19" s="14" t="n"/>
      <c r="D19" s="14" t="n"/>
      <c r="E19" s="14" t="n"/>
      <c r="F19" s="14" t="n"/>
      <c r="G19" s="14" t="n"/>
      <c r="H19" s="14" t="n"/>
      <c r="I19" s="14" t="n"/>
      <c r="J19" s="32" t="n"/>
    </row>
    <row r="20">
      <c r="A20" s="30" t="inlineStr">
        <is>
          <t>ckfydk</t>
        </is>
      </c>
      <c r="B20" s="31" t="n"/>
      <c r="C20" s="14" t="n"/>
      <c r="D20" s="14" t="n"/>
      <c r="E20" s="14" t="n"/>
      <c r="F20" s="14" t="n"/>
      <c r="G20" s="14" t="n"/>
      <c r="H20" s="14" t="n"/>
      <c r="I20" s="14" t="n"/>
      <c r="J20" s="32" t="n"/>
    </row>
    <row r="21">
      <c r="A21" s="30" t="inlineStr">
        <is>
          <t>vuq0tkfr ckyd</t>
        </is>
      </c>
      <c r="B21" s="31" t="n"/>
      <c r="C21" s="14" t="n"/>
      <c r="D21" s="14" t="n"/>
      <c r="E21" s="14" t="n"/>
      <c r="F21" s="14" t="n"/>
      <c r="G21" s="14" t="n"/>
      <c r="H21" s="14" t="n"/>
      <c r="I21" s="14" t="n"/>
      <c r="J21" s="32" t="n"/>
    </row>
    <row r="22">
      <c r="A22" s="30" t="inlineStr">
        <is>
          <t>ckfydk</t>
        </is>
      </c>
      <c r="B22" s="31" t="n"/>
      <c r="C22" s="14" t="n"/>
      <c r="D22" s="14" t="n"/>
      <c r="E22" s="14" t="n"/>
      <c r="F22" s="14" t="n"/>
      <c r="G22" s="14" t="n"/>
      <c r="H22" s="14" t="n"/>
      <c r="I22" s="14" t="n"/>
      <c r="J22" s="32" t="n"/>
    </row>
    <row r="23">
      <c r="A23" s="30" t="inlineStr">
        <is>
          <t>vYila[;d ckyd</t>
        </is>
      </c>
      <c r="B23" s="31" t="n"/>
      <c r="C23" s="14" t="n"/>
      <c r="D23" s="33" t="n"/>
      <c r="E23" s="14" t="n"/>
      <c r="F23" s="14" t="n"/>
      <c r="G23" s="14" t="n"/>
      <c r="H23" s="14" t="n"/>
      <c r="I23" s="14" t="n"/>
      <c r="J23" s="32" t="n"/>
    </row>
    <row r="24">
      <c r="A24" s="30" t="inlineStr">
        <is>
          <t>ckfydk</t>
        </is>
      </c>
      <c r="B24" s="31" t="n"/>
      <c r="C24" s="14" t="n"/>
      <c r="D24" s="14" t="n"/>
      <c r="E24" s="14" t="n"/>
      <c r="F24" s="14" t="n"/>
      <c r="G24" s="14" t="n"/>
      <c r="H24" s="14" t="n"/>
      <c r="I24" s="14" t="n"/>
      <c r="J24" s="32" t="n"/>
    </row>
    <row r="25">
      <c r="A25" s="30" t="inlineStr">
        <is>
          <t>vuq0t0ckyd</t>
        </is>
      </c>
      <c r="B25" s="31" t="n"/>
      <c r="C25" s="14" t="n"/>
      <c r="D25" s="14" t="n"/>
      <c r="E25" s="14" t="n"/>
      <c r="F25" s="14" t="n"/>
      <c r="G25" s="14" t="n"/>
      <c r="H25" s="14" t="n"/>
      <c r="I25" s="14" t="n"/>
      <c r="J25" s="32" t="n"/>
    </row>
    <row r="26">
      <c r="A26" s="30" t="inlineStr">
        <is>
          <t>vuq0t0ckfydk</t>
        </is>
      </c>
      <c r="B26" s="31" t="n"/>
      <c r="C26" s="14" t="n"/>
      <c r="D26" s="14" t="n"/>
      <c r="E26" s="14" t="n"/>
      <c r="F26" s="14" t="n"/>
      <c r="G26" s="14" t="n"/>
      <c r="H26" s="14" t="n"/>
      <c r="I26" s="14" t="n"/>
      <c r="J26" s="32" t="n"/>
    </row>
    <row r="27">
      <c r="A27" s="29" t="inlineStr">
        <is>
          <t>;ksx</t>
        </is>
      </c>
      <c r="B27" s="31" t="n"/>
      <c r="C27" s="32">
        <f>SUM(C17:C26)</f>
        <v/>
      </c>
      <c r="D27" s="32">
        <f>SUM(D17:D26)</f>
        <v/>
      </c>
      <c r="E27" s="32">
        <f>SUM(E17:E26)</f>
        <v/>
      </c>
      <c r="F27" s="32">
        <f>SUM(F17:F26)</f>
        <v/>
      </c>
      <c r="G27" s="32">
        <f>SUM(G17:G26)</f>
        <v/>
      </c>
      <c r="H27" s="32">
        <f>SUM(H17:H24)</f>
        <v/>
      </c>
      <c r="I27" s="32">
        <f>SUM(I17:I24)</f>
        <v/>
      </c>
      <c r="J27" s="32">
        <f>SUM(J17:J26)</f>
        <v/>
      </c>
    </row>
    <row r="28">
      <c r="A28" s="21" t="n"/>
      <c r="B28" s="21" t="inlineStr">
        <is>
          <t>ewy osru &amp;</t>
        </is>
      </c>
      <c r="C28" s="21" t="n"/>
      <c r="D28" s="34" t="n"/>
      <c r="E28" s="35" t="n"/>
      <c r="F28" s="34" t="n"/>
      <c r="G28" s="34" t="n"/>
      <c r="H28" s="35" t="n"/>
      <c r="I28" s="34" t="n"/>
      <c r="J28" s="36" t="n"/>
    </row>
    <row r="29">
      <c r="A29" s="4" t="n"/>
      <c r="B29" s="4" t="inlineStr">
        <is>
          <t>egaxkbZ  &amp;</t>
        </is>
      </c>
      <c r="C29" s="4" t="n"/>
      <c r="D29" s="35" t="n"/>
      <c r="E29" s="35" t="n"/>
      <c r="F29" s="35" t="n"/>
      <c r="G29" s="35" t="n"/>
      <c r="H29" s="35" t="n"/>
      <c r="I29" s="35" t="n"/>
      <c r="J29" s="37" t="n"/>
    </row>
    <row r="30">
      <c r="A30" s="4" t="n"/>
      <c r="B30" s="4" t="inlineStr">
        <is>
          <t>xzkeh.k vkokl HkRrk&amp;</t>
        </is>
      </c>
      <c r="C30" s="4" t="n"/>
      <c r="D30" s="35" t="n"/>
      <c r="E30" s="35" t="n"/>
      <c r="F30" s="35" t="n"/>
      <c r="G30" s="35" t="n"/>
      <c r="H30" s="35" t="n"/>
      <c r="I30" s="35" t="n"/>
      <c r="J30" s="37" t="n"/>
      <c r="M30" s="7">
        <f>78800+78800+49000+49000+47600+46200+29300+27600</f>
        <v/>
      </c>
    </row>
    <row r="31">
      <c r="A31" s="4" t="n"/>
      <c r="B31" s="4" t="inlineStr">
        <is>
          <t>,fj;j@cksul</t>
        </is>
      </c>
      <c r="C31" s="4" t="n"/>
      <c r="D31" s="35" t="n"/>
      <c r="E31" s="35" t="n"/>
      <c r="F31" s="35" t="n"/>
      <c r="G31" s="35" t="n"/>
      <c r="H31" s="35" t="n"/>
      <c r="I31" s="35" t="n"/>
      <c r="J31" s="37" t="n"/>
    </row>
    <row r="32">
      <c r="A32" s="4" t="n"/>
      <c r="B32" s="4" t="n"/>
      <c r="C32" s="4" t="n"/>
      <c r="D32" s="35" t="n"/>
      <c r="E32" s="35" t="n"/>
      <c r="F32" s="35" t="n"/>
      <c r="G32" s="35" t="n"/>
      <c r="H32" s="35" t="n"/>
      <c r="I32" s="35" t="n"/>
      <c r="J32" s="37" t="n"/>
    </row>
    <row r="33">
      <c r="A33" s="15" t="n"/>
      <c r="B33" s="38" t="inlineStr">
        <is>
          <t>;ksx</t>
        </is>
      </c>
      <c r="C33" s="15" t="n"/>
      <c r="D33" s="39" t="n"/>
      <c r="E33" s="39" t="n"/>
      <c r="F33" s="39" t="n"/>
      <c r="G33" s="39" t="n"/>
      <c r="H33" s="39" t="n"/>
      <c r="I33" s="40" t="n"/>
      <c r="J33" s="39" t="n"/>
      <c r="K33" s="7">
        <f>521964/2</f>
        <v/>
      </c>
      <c r="L33" s="41">
        <f>D33+E33</f>
        <v/>
      </c>
    </row>
    <row r="34">
      <c r="A34" s="22" t="inlineStr">
        <is>
          <t>dqy dVkSfr;ka</t>
        </is>
      </c>
      <c r="B34" s="21" t="n"/>
      <c r="C34" s="21" t="n"/>
      <c r="D34" s="42" t="n"/>
      <c r="E34" s="43" t="n"/>
      <c r="F34" s="42" t="n"/>
      <c r="G34" s="42" t="n"/>
      <c r="H34" s="43" t="n"/>
      <c r="I34" s="44" t="n"/>
      <c r="J34" s="45" t="n"/>
    </row>
    <row r="35">
      <c r="A35" s="46" t="n"/>
      <c r="B35" s="4" t="inlineStr">
        <is>
          <t>lkekU; Hkfo"; fuf/k</t>
        </is>
      </c>
      <c r="C35" s="4" t="n"/>
      <c r="D35" s="35" t="n"/>
      <c r="E35" s="35" t="n"/>
      <c r="F35" s="35" t="n"/>
      <c r="G35" s="35" t="n"/>
      <c r="H35" s="35" t="n"/>
      <c r="I35" s="47" t="n"/>
      <c r="J35" s="37" t="n"/>
    </row>
    <row r="36">
      <c r="A36" s="46" t="n"/>
      <c r="B36" s="4" t="inlineStr">
        <is>
          <t>,u0ih0,l0</t>
        </is>
      </c>
      <c r="C36" s="4" t="n"/>
      <c r="D36" s="35" t="n"/>
      <c r="E36" s="35" t="n"/>
      <c r="F36" s="35" t="n"/>
      <c r="G36" s="35" t="n"/>
      <c r="H36" s="35" t="n"/>
      <c r="I36" s="47" t="n"/>
      <c r="J36" s="37" t="n"/>
      <c r="L36" s="7">
        <f>4937*2</f>
        <v/>
      </c>
    </row>
    <row r="37">
      <c r="A37" s="4" t="n"/>
      <c r="B37" s="4" t="inlineStr">
        <is>
          <t>lkewfgd thou fcek</t>
        </is>
      </c>
      <c r="C37" s="4" t="n"/>
      <c r="D37" s="35" t="n"/>
      <c r="E37" s="35" t="n"/>
      <c r="F37" s="35" t="n"/>
      <c r="G37" s="35" t="n"/>
      <c r="H37" s="35" t="n"/>
      <c r="I37" s="47" t="n"/>
      <c r="J37" s="37" t="n"/>
    </row>
    <row r="38">
      <c r="A38" s="4" t="n"/>
      <c r="B38" s="4" t="inlineStr">
        <is>
          <t>la;qDr [kkrs esa tek</t>
        </is>
      </c>
      <c r="C38" s="4" t="n"/>
      <c r="D38" s="48" t="n"/>
      <c r="E38" s="42" t="n"/>
      <c r="F38" s="48" t="n"/>
      <c r="G38" s="48" t="n"/>
      <c r="H38" s="42" t="n"/>
      <c r="I38" s="49" t="n"/>
      <c r="J38" s="50" t="n"/>
    </row>
    <row r="39">
      <c r="A39" s="4" t="n"/>
      <c r="B39" s="4" t="inlineStr">
        <is>
          <t>vk;dj</t>
        </is>
      </c>
      <c r="C39" s="4" t="n"/>
      <c r="D39" s="35" t="n"/>
      <c r="E39" s="35" t="n"/>
      <c r="F39" s="35" t="n"/>
      <c r="G39" s="35" t="n"/>
      <c r="H39" s="35" t="n"/>
      <c r="I39" s="47" t="n"/>
      <c r="J39" s="37" t="n"/>
    </row>
    <row r="40">
      <c r="A40" s="51" t="n"/>
      <c r="B40" s="51" t="inlineStr">
        <is>
          <t xml:space="preserve">vU; lzksrksa ls </t>
        </is>
      </c>
      <c r="C40" s="51" t="n"/>
      <c r="D40" s="48" t="n"/>
      <c r="E40" s="52" t="n"/>
      <c r="F40" s="48" t="n"/>
      <c r="G40" s="48" t="n"/>
      <c r="H40" s="53" t="n"/>
      <c r="I40" s="54" t="n"/>
      <c r="J40" s="55" t="n"/>
    </row>
    <row r="41">
      <c r="A41" s="16" t="n"/>
      <c r="B41" s="38" t="inlineStr">
        <is>
          <t>;ksx&amp;</t>
        </is>
      </c>
      <c r="C41" s="16" t="n"/>
      <c r="D41" s="39" t="n"/>
      <c r="E41" s="39" t="n"/>
      <c r="F41" s="39" t="n"/>
      <c r="G41" s="39" t="n"/>
      <c r="H41" s="39" t="n"/>
      <c r="I41" s="56" t="n"/>
      <c r="J41" s="39" t="n"/>
    </row>
    <row r="42">
      <c r="A42" s="4" t="inlineStr">
        <is>
          <t xml:space="preserve">laLrqfr </t>
        </is>
      </c>
      <c r="B42" s="57" t="n"/>
      <c r="C42" s="17" t="n"/>
      <c r="D42" s="37" t="n"/>
      <c r="E42" s="37" t="n"/>
      <c r="F42" s="37" t="n"/>
      <c r="G42" s="37" t="n"/>
      <c r="H42" s="37" t="n"/>
      <c r="I42" s="58" t="n"/>
      <c r="J42" s="37" t="n"/>
    </row>
    <row r="43">
      <c r="B43" s="59" t="inlineStr">
        <is>
          <t>vk;dj</t>
        </is>
      </c>
      <c r="C43" s="59" t="n"/>
      <c r="D43" s="60" t="n"/>
      <c r="E43" s="42" t="n"/>
      <c r="F43" s="42" t="n"/>
      <c r="G43" s="42" t="n"/>
      <c r="H43" s="42" t="n"/>
      <c r="I43" s="49" t="n"/>
      <c r="J43" s="17" t="n"/>
    </row>
    <row r="44">
      <c r="A44" s="46" t="n"/>
      <c r="B44" s="59" t="inlineStr">
        <is>
          <t>vuqnku dh /kujkf'k&amp;</t>
        </is>
      </c>
      <c r="C44" s="59" t="n"/>
      <c r="D44" s="60" t="n"/>
      <c r="E44" s="42" t="n"/>
      <c r="F44" s="42" t="n"/>
      <c r="G44" s="42" t="n"/>
      <c r="H44" s="42" t="n"/>
      <c r="I44" s="49" t="n"/>
      <c r="J44" s="17" t="n"/>
      <c r="L44" s="7">
        <f>529347+89926</f>
        <v/>
      </c>
    </row>
    <row r="45">
      <c r="A45" s="4" t="n"/>
      <c r="B45" s="59" t="inlineStr">
        <is>
          <t>th0ih0,Q0 vuqnku dh /kujkf'k&amp;</t>
        </is>
      </c>
      <c r="D45" s="60" t="n"/>
      <c r="E45" s="42" t="n"/>
      <c r="F45" s="42" t="n"/>
      <c r="G45" s="42" t="n"/>
      <c r="H45" s="42" t="n"/>
      <c r="I45" s="49" t="n"/>
      <c r="J45" s="17" t="n"/>
    </row>
    <row r="46">
      <c r="A46" s="51" t="n"/>
      <c r="B46" s="61" t="inlineStr">
        <is>
          <t>,u0ih0,l0 vuqnku dh /kujkf'k&amp;</t>
        </is>
      </c>
      <c r="C46" s="62" t="n"/>
      <c r="D46" s="60" t="n"/>
      <c r="E46" s="53" t="n"/>
      <c r="F46" s="53" t="n"/>
      <c r="G46" s="53" t="n"/>
      <c r="H46" s="53" t="n"/>
      <c r="I46" s="54" t="n"/>
      <c r="J46" s="63" t="n"/>
    </row>
    <row r="47">
      <c r="A47" s="51" t="n"/>
      <c r="B47" s="51" t="inlineStr">
        <is>
          <t>;ksx&amp;</t>
        </is>
      </c>
      <c r="C47" s="51" t="n"/>
      <c r="D47" s="64" t="n"/>
      <c r="E47" s="53" t="n"/>
      <c r="F47" s="53" t="n"/>
      <c r="G47" s="53" t="n"/>
      <c r="H47" s="53" t="n"/>
      <c r="I47" s="54" t="n"/>
      <c r="J47" s="63" t="n"/>
      <c r="M47" s="65">
        <f>622120+122100-D47</f>
        <v/>
      </c>
    </row>
    <row r="48">
      <c r="A48" s="66">
        <f>I3</f>
        <v/>
      </c>
      <c r="B48" s="67" t="n"/>
      <c r="C48" s="68" t="inlineStr">
        <is>
          <t>ds fu;fer osru vkgj.k gsrq :0 743524¾00 dh laLrqfr iznku dh tkrh gSA</t>
        </is>
      </c>
      <c r="D48" s="69" t="n"/>
      <c r="E48" s="69" t="n"/>
      <c r="F48" s="69" t="n"/>
      <c r="G48" s="69" t="n"/>
      <c r="H48" s="69" t="n"/>
      <c r="I48" s="69" t="n"/>
      <c r="J48" s="69" t="n"/>
    </row>
    <row r="49">
      <c r="A49" s="70" t="n"/>
      <c r="B49" s="70" t="n"/>
      <c r="C49" s="70" t="n"/>
      <c r="D49" s="70" t="n"/>
      <c r="E49" s="70" t="n"/>
      <c r="F49" s="70" t="n"/>
      <c r="G49" s="70" t="n"/>
      <c r="H49" s="70" t="n"/>
      <c r="I49" s="70" t="n"/>
      <c r="J49" s="70" t="n"/>
      <c r="M49" s="7" t="n">
        <v>52</v>
      </c>
    </row>
    <row r="50"/>
    <row r="51"/>
    <row r="52"/>
    <row r="53"/>
    <row r="54"/>
    <row r="55"/>
    <row r="56">
      <c r="S56" s="71" t="n"/>
    </row>
    <row r="57">
      <c r="S57" s="71" t="n"/>
    </row>
    <row r="58">
      <c r="S58" s="71" t="n"/>
    </row>
    <row r="59">
      <c r="S59" s="71" t="n"/>
    </row>
    <row r="60">
      <c r="H60" s="71" t="n"/>
      <c r="S60" s="71" t="n"/>
    </row>
    <row r="61">
      <c r="H61" s="71" t="n"/>
      <c r="S61" s="71" t="n"/>
    </row>
    <row r="62">
      <c r="H62" s="71" t="n"/>
      <c r="S62" s="71" t="n"/>
    </row>
  </sheetData>
  <mergeCells count="20">
    <mergeCell ref="A48:B48"/>
    <mergeCell ref="A24:B24"/>
    <mergeCell ref="A14:J14"/>
    <mergeCell ref="C15:J15"/>
    <mergeCell ref="B46:C46"/>
    <mergeCell ref="A25:B25"/>
    <mergeCell ref="A18:B18"/>
    <mergeCell ref="A27:B27"/>
    <mergeCell ref="A1:J1"/>
    <mergeCell ref="A21:B21"/>
    <mergeCell ref="A26:B26"/>
    <mergeCell ref="A15:B16"/>
    <mergeCell ref="A23:B23"/>
    <mergeCell ref="A17:B17"/>
    <mergeCell ref="A22:B22"/>
    <mergeCell ref="A20:B20"/>
    <mergeCell ref="A19:B19"/>
    <mergeCell ref="B45:C45"/>
    <mergeCell ref="A2:J2"/>
    <mergeCell ref="F4:J4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2025-05-09T08:30:13Z</dcterms:created>
  <dcterms:modified xsi:type="dcterms:W3CDTF">2025-05-09T08:30:15Z</dcterms:modified>
</cp:coreProperties>
</file>